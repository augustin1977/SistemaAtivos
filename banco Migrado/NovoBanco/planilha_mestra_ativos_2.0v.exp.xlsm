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8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ericaugustin\OneDrive - IPT\Documentos\Prototipos\2023\Projeto Controle Ativos\SistemaAtivos2\SistemaAtivos\banco Migrado\NovoBanco\"/>
    </mc:Choice>
  </mc:AlternateContent>
  <xr:revisionPtr revIDLastSave="23" documentId="13_ncr:1_{CE4A510A-7E6E-4289-877D-C11FB96C221C}" xr6:coauthVersionLast="36" xr6:coauthVersionMax="36" xr10:uidLastSave="{1E3313D4-85AE-412A-85F9-4C2503903253}"/>
  <bookViews>
    <workbookView xWindow="0" yWindow="0" windowWidth="23976" windowHeight="8976" xr2:uid="{00000000-000D-0000-FFFF-FFFF00000000}"/>
  </bookViews>
  <sheets>
    <sheet name="input" sheetId="1" r:id="rId1"/>
    <sheet name="pat_alts" sheetId="3" r:id="rId2"/>
    <sheet name="tipos_eqs" sheetId="2" r:id="rId3"/>
    <sheet name="defs" sheetId="4" r:id="rId4"/>
  </sheets>
  <functionGroups builtInGroupCount="19"/>
  <definedNames>
    <definedName name="_xlnm._FilterDatabase" localSheetId="0" hidden="1">input!$A$1:$AK$473</definedName>
    <definedName name="_xlnm._FilterDatabase" localSheetId="2" hidden="1">tipos_eqs!#REF!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4" l="1"/>
  <c r="O24" i="4"/>
  <c r="D1" i="4" a="1"/>
  <c r="D1" i="4" s="1"/>
  <c r="D2" i="3" s="1"/>
  <c r="C4" i="3" a="1"/>
  <c r="C4" i="3" s="1"/>
  <c r="J9" i="4"/>
  <c r="J10" i="4"/>
  <c r="J11" i="4"/>
  <c r="J12" i="4"/>
  <c r="J13" i="4"/>
  <c r="J14" i="4"/>
  <c r="J8" i="4"/>
  <c r="J5" i="4"/>
  <c r="J6" i="4"/>
  <c r="J7" i="4"/>
  <c r="B26" i="4"/>
  <c r="B24" i="4"/>
  <c r="N3" i="4" a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6" i="4" a="1"/>
  <c r="K6" i="4" s="1"/>
  <c r="K7" i="4" a="1"/>
  <c r="K7" i="4" s="1"/>
  <c r="E16" i="4" a="1"/>
  <c r="E16" i="4" s="1"/>
  <c r="E15" i="4" a="1"/>
  <c r="E15" i="4" s="1"/>
  <c r="E14" i="4" a="1"/>
  <c r="E14" i="4" s="1"/>
  <c r="E13" i="4" a="1"/>
  <c r="E13" i="4" s="1"/>
  <c r="E12" i="4" a="1"/>
  <c r="E12" i="4" s="1"/>
  <c r="E11" i="4" a="1"/>
  <c r="E11" i="4" s="1"/>
  <c r="E10" i="4" a="1"/>
  <c r="E10" i="4" s="1"/>
  <c r="E9" i="4" a="1"/>
  <c r="E9" i="4" s="1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Y203" i="2" a="1"/>
  <c r="Y203" i="2" s="1"/>
  <c r="A3" i="2" a="1"/>
  <c r="A3" i="2" s="1"/>
  <c r="H1" i="2"/>
  <c r="G3" i="2" a="1"/>
  <c r="G3" i="2" s="1"/>
  <c r="F3" i="2" a="1"/>
  <c r="F3" i="2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7" i="3" a="1"/>
  <c r="C7" i="3" s="1"/>
  <c r="E8" i="4" a="1"/>
  <c r="E8" i="4" s="1"/>
  <c r="E7" i="4" a="1"/>
  <c r="E7" i="4" s="1"/>
  <c r="E6" i="4" a="1"/>
  <c r="E6" i="4" s="1"/>
  <c r="E5" i="4" a="1"/>
  <c r="E5" i="4" s="1"/>
  <c r="H5" i="4"/>
  <c r="H6" i="4" s="1"/>
  <c r="H7" i="4" s="1"/>
  <c r="H8" i="4" s="1"/>
  <c r="H9" i="4" s="1"/>
  <c r="H10" i="4" s="1"/>
  <c r="H11" i="4" s="1"/>
  <c r="H12" i="4" s="1"/>
  <c r="C6" i="3" a="1"/>
  <c r="C6" i="3" s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C5" i="3" a="1"/>
  <c r="C5" i="3" s="1"/>
  <c r="E4" i="4" a="1"/>
  <c r="E4" i="4" s="1"/>
  <c r="B5" i="3"/>
  <c r="B4" i="3"/>
  <c r="I5" i="4"/>
  <c r="K5" i="4" s="1" a="1"/>
  <c r="K5" i="4" s="1"/>
  <c r="I4" i="4"/>
  <c r="A5" i="4"/>
  <c r="A6" i="4" s="1"/>
  <c r="A7" i="4" s="1"/>
  <c r="A8" i="4" s="1"/>
  <c r="A9" i="4" s="1"/>
  <c r="A10" i="4" s="1"/>
  <c r="A11" i="4" s="1"/>
  <c r="AM6" i="1"/>
  <c r="AM39" i="1"/>
  <c r="AM378" i="1"/>
  <c r="AM274" i="1"/>
  <c r="AM38" i="1"/>
  <c r="AM253" i="1"/>
  <c r="AM393" i="1"/>
  <c r="AM463" i="1"/>
  <c r="AM329" i="1"/>
  <c r="AM444" i="1"/>
  <c r="AM77" i="1"/>
  <c r="AM385" i="1"/>
  <c r="AM213" i="1"/>
  <c r="AM82" i="1"/>
  <c r="AM108" i="1"/>
  <c r="AM93" i="1"/>
  <c r="AM268" i="1"/>
  <c r="AM246" i="1"/>
  <c r="AM186" i="1"/>
  <c r="AM469" i="1"/>
  <c r="AM221" i="1"/>
  <c r="AM211" i="1"/>
  <c r="AM216" i="1"/>
  <c r="AM96" i="1"/>
  <c r="AM173" i="1"/>
  <c r="AM420" i="1"/>
  <c r="AM87" i="1"/>
  <c r="AM230" i="1"/>
  <c r="AM339" i="1"/>
  <c r="AM232" i="1"/>
  <c r="AM57" i="1"/>
  <c r="AM466" i="1"/>
  <c r="AM16" i="1"/>
  <c r="AM189" i="1"/>
  <c r="AM24" i="1"/>
  <c r="AM222" i="1"/>
  <c r="AM154" i="1"/>
  <c r="AM99" i="1"/>
  <c r="AM126" i="1"/>
  <c r="AM316" i="1"/>
  <c r="AM102" i="1"/>
  <c r="AM176" i="1"/>
  <c r="AM105" i="1"/>
  <c r="AM256" i="1"/>
  <c r="AM51" i="1"/>
  <c r="AM304" i="1"/>
  <c r="AM275" i="1"/>
  <c r="AM23" i="1"/>
  <c r="AM212" i="1"/>
  <c r="AM114" i="1"/>
  <c r="AM276" i="1"/>
  <c r="AM279" i="1"/>
  <c r="AM164" i="1"/>
  <c r="AM433" i="1"/>
  <c r="AM284" i="1"/>
  <c r="AM15" i="1"/>
  <c r="AM292" i="1"/>
  <c r="AM125" i="1"/>
  <c r="AM432" i="1"/>
  <c r="AM104" i="1"/>
  <c r="AM123" i="1"/>
  <c r="AM174" i="1"/>
  <c r="AM115" i="1"/>
  <c r="AM60" i="1"/>
  <c r="AM132" i="1"/>
  <c r="AM353" i="1"/>
  <c r="AM8" i="1"/>
  <c r="AM47" i="1"/>
  <c r="AM52" i="1"/>
  <c r="AM224" i="1"/>
  <c r="AM320" i="1"/>
  <c r="AM364" i="1"/>
  <c r="AM162" i="1"/>
  <c r="AM322" i="1"/>
  <c r="AM119" i="1"/>
  <c r="AM26" i="1"/>
  <c r="AM373" i="1"/>
  <c r="AM293" i="1"/>
  <c r="AM401" i="1"/>
  <c r="AM380" i="1"/>
  <c r="AM59" i="1"/>
  <c r="AM448" i="1"/>
  <c r="AM228" i="1"/>
  <c r="AM340" i="1"/>
  <c r="AM240" i="1"/>
  <c r="AM436" i="1"/>
  <c r="AM179" i="1"/>
  <c r="AM389" i="1"/>
  <c r="AM133" i="1"/>
  <c r="AM155" i="1"/>
  <c r="AM61" i="1"/>
  <c r="AM372" i="1"/>
  <c r="AM360" i="1"/>
  <c r="AM265" i="1"/>
  <c r="AM381" i="1"/>
  <c r="AM182" i="1"/>
  <c r="AM363" i="1"/>
  <c r="AM202" i="1"/>
  <c r="AM109" i="1"/>
  <c r="AM418" i="1"/>
  <c r="AM117" i="1"/>
  <c r="AM172" i="1"/>
  <c r="AM416" i="1"/>
  <c r="AM141" i="1"/>
  <c r="AM294" i="1"/>
  <c r="AM460" i="1"/>
  <c r="AM403" i="1"/>
  <c r="AM62" i="1"/>
  <c r="AM7" i="1"/>
  <c r="AM5" i="1"/>
  <c r="AM127" i="1"/>
  <c r="AM10" i="1"/>
  <c r="AM163" i="1"/>
  <c r="AM419" i="1"/>
  <c r="AM58" i="1"/>
  <c r="AM357" i="1"/>
  <c r="AM243" i="1"/>
  <c r="AM233" i="1"/>
  <c r="AM272" i="1"/>
  <c r="AM76" i="1"/>
  <c r="AM319" i="1"/>
  <c r="AM134" i="1"/>
  <c r="AM262" i="1"/>
  <c r="AM286" i="1"/>
  <c r="AM245" i="1"/>
  <c r="AM333" i="1"/>
  <c r="AM370" i="1"/>
  <c r="AM71" i="1"/>
  <c r="AM92" i="1"/>
  <c r="AM75" i="1"/>
  <c r="AM17" i="1"/>
  <c r="AM210" i="1"/>
  <c r="AM81" i="1"/>
  <c r="AM13" i="1"/>
  <c r="AM36" i="1"/>
  <c r="AM343" i="1"/>
  <c r="AM73" i="1"/>
  <c r="AM184" i="1"/>
  <c r="AM412" i="1"/>
  <c r="AM3" i="1"/>
  <c r="AM335" i="1"/>
  <c r="AM68" i="1"/>
  <c r="AM25" i="1"/>
  <c r="AM278" i="1"/>
  <c r="AM421" i="1"/>
  <c r="AM139" i="1"/>
  <c r="AM406" i="1"/>
  <c r="AM472" i="1"/>
  <c r="AM148" i="1"/>
  <c r="AM376" i="1"/>
  <c r="AM171" i="1"/>
  <c r="AM462" i="1"/>
  <c r="AM295" i="1"/>
  <c r="AM330" i="1"/>
  <c r="AM374" i="1"/>
  <c r="AM118" i="1"/>
  <c r="AM157" i="1"/>
  <c r="AM167" i="1"/>
  <c r="AM309" i="1"/>
  <c r="AM431" i="1"/>
  <c r="AM237" i="1"/>
  <c r="AM398" i="1"/>
  <c r="AM198" i="1"/>
  <c r="AM83" i="1"/>
  <c r="AM239" i="1"/>
  <c r="AM160" i="1"/>
  <c r="AM66" i="1"/>
  <c r="AM425" i="1"/>
  <c r="AM244" i="1"/>
  <c r="AM415" i="1"/>
  <c r="AM18" i="1"/>
  <c r="AM2" i="1"/>
  <c r="AM195" i="1"/>
  <c r="AM270" i="1"/>
  <c r="AM129" i="1"/>
  <c r="AM422" i="1"/>
  <c r="AM439" i="1"/>
  <c r="AM399" i="1"/>
  <c r="AM332" i="1"/>
  <c r="AM405" i="1"/>
  <c r="AM78" i="1"/>
  <c r="AM218" i="1"/>
  <c r="AM168" i="1"/>
  <c r="AM289" i="1"/>
  <c r="AM408" i="1"/>
  <c r="AM271" i="1"/>
  <c r="AM72" i="1"/>
  <c r="AM386" i="1"/>
  <c r="AM366" i="1"/>
  <c r="AM12" i="1"/>
  <c r="AM350" i="1"/>
  <c r="AM120" i="1"/>
  <c r="AM106" i="1"/>
  <c r="AM345" i="1"/>
  <c r="AM124" i="1"/>
  <c r="AM215" i="1"/>
  <c r="AM49" i="1"/>
  <c r="AM446" i="1"/>
  <c r="AM113" i="1"/>
  <c r="AM459" i="1"/>
  <c r="AM312" i="1"/>
  <c r="AM234" i="1"/>
  <c r="AM285" i="1"/>
  <c r="AM387" i="1"/>
  <c r="AM110" i="1"/>
  <c r="AM426" i="1"/>
  <c r="AM297" i="1"/>
  <c r="AM90" i="1"/>
  <c r="AM31" i="1"/>
  <c r="AM229" i="1"/>
  <c r="AM465" i="1"/>
  <c r="AM443" i="1"/>
  <c r="AM64" i="1"/>
  <c r="AM199" i="1"/>
  <c r="AM11" i="1"/>
  <c r="AM323" i="1"/>
  <c r="AM85" i="1"/>
  <c r="AM302" i="1"/>
  <c r="AM41" i="1"/>
  <c r="AM165" i="1"/>
  <c r="AM197" i="1"/>
  <c r="AM70" i="1"/>
  <c r="AM97" i="1"/>
  <c r="AM258" i="1"/>
  <c r="AM407" i="1"/>
  <c r="AM296" i="1"/>
  <c r="AM461" i="1"/>
  <c r="AM438" i="1"/>
  <c r="AM150" i="1"/>
  <c r="AM325" i="1"/>
  <c r="AM371" i="1"/>
  <c r="AM250" i="1"/>
  <c r="AM175" i="1"/>
  <c r="AM441" i="1"/>
  <c r="AM223" i="1"/>
  <c r="AM219" i="1"/>
  <c r="AM355" i="1"/>
  <c r="AM341" i="1"/>
  <c r="AM143" i="1"/>
  <c r="AM264" i="1"/>
  <c r="AM29" i="1"/>
  <c r="AM22" i="1"/>
  <c r="AM180" i="1"/>
  <c r="AM277" i="1"/>
  <c r="AM50" i="1"/>
  <c r="AM400" i="1"/>
  <c r="AM4" i="1"/>
  <c r="AM367" i="1"/>
  <c r="AM183" i="1"/>
  <c r="AM207" i="1"/>
  <c r="AM282" i="1"/>
  <c r="AM101" i="1"/>
  <c r="AM356" i="1"/>
  <c r="AM116" i="1"/>
  <c r="AM46" i="1"/>
  <c r="AM397" i="1"/>
  <c r="AM269" i="1"/>
  <c r="AM153" i="1"/>
  <c r="AM205" i="1"/>
  <c r="AM261" i="1"/>
  <c r="AM63" i="1"/>
  <c r="AM54" i="1"/>
  <c r="AM424" i="1"/>
  <c r="AM430" i="1"/>
  <c r="AM91" i="1"/>
  <c r="AM299" i="1"/>
  <c r="AM204" i="1"/>
  <c r="AM392" i="1"/>
  <c r="AM226" i="1"/>
  <c r="AM369" i="1"/>
  <c r="AM69" i="1"/>
  <c r="AM468" i="1"/>
  <c r="AM394" i="1"/>
  <c r="AM181" i="1"/>
  <c r="AM298" i="1"/>
  <c r="AM187" i="1"/>
  <c r="AM351" i="1"/>
  <c r="AM65" i="1"/>
  <c r="AM147" i="1"/>
  <c r="AM190" i="1"/>
  <c r="AM169" i="1"/>
  <c r="AM122" i="1"/>
  <c r="AM434" i="1"/>
  <c r="AM231" i="1"/>
  <c r="AM98" i="1"/>
  <c r="AM471" i="1"/>
  <c r="AM342" i="1"/>
  <c r="AM467" i="1"/>
  <c r="AM409" i="1"/>
  <c r="AM348" i="1"/>
  <c r="AM283" i="1"/>
  <c r="AM79" i="1"/>
  <c r="AM84" i="1"/>
  <c r="AM43" i="1"/>
  <c r="AM121" i="1"/>
  <c r="AM156" i="1"/>
  <c r="AM80" i="1"/>
  <c r="AM315" i="1"/>
  <c r="AM361" i="1"/>
  <c r="AM88" i="1"/>
  <c r="AM48" i="1"/>
  <c r="AM338" i="1"/>
  <c r="AM241" i="1"/>
  <c r="AM136" i="1"/>
  <c r="AM225" i="1"/>
  <c r="AM396" i="1"/>
  <c r="AM365" i="1"/>
  <c r="AM327" i="1"/>
  <c r="AM313" i="1"/>
  <c r="AM201" i="1"/>
  <c r="AM21" i="1"/>
  <c r="AM391" i="1"/>
  <c r="AM55" i="1"/>
  <c r="AM324" i="1"/>
  <c r="AM166" i="1"/>
  <c r="AM344" i="1"/>
  <c r="AM103" i="1"/>
  <c r="AM74" i="1"/>
  <c r="AM470" i="1"/>
  <c r="AM427" i="1"/>
  <c r="AM238" i="1"/>
  <c r="AM220" i="1"/>
  <c r="AM37" i="1"/>
  <c r="AM383" i="1"/>
  <c r="AM384" i="1"/>
  <c r="AM151" i="1"/>
  <c r="AM14" i="1"/>
  <c r="AM67" i="1"/>
  <c r="AM445" i="1"/>
  <c r="AM310" i="1"/>
  <c r="AM377" i="1"/>
  <c r="AM40" i="1"/>
  <c r="AM44" i="1"/>
  <c r="AM128" i="1"/>
  <c r="AM158" i="1"/>
  <c r="AM414" i="1"/>
  <c r="AM144" i="1"/>
  <c r="AM287" i="1"/>
  <c r="AM178" i="1"/>
  <c r="AM192" i="1"/>
  <c r="AM33" i="1"/>
  <c r="AM301" i="1"/>
  <c r="AM194" i="1"/>
  <c r="AM288" i="1"/>
  <c r="AM203" i="1"/>
  <c r="AM34" i="1"/>
  <c r="AM336" i="1"/>
  <c r="AM331" i="1"/>
  <c r="AM138" i="1"/>
  <c r="AM404" i="1"/>
  <c r="AM280" i="1"/>
  <c r="AM362" i="1"/>
  <c r="AM188" i="1"/>
  <c r="AM196" i="1"/>
  <c r="AM140" i="1"/>
  <c r="AM395" i="1"/>
  <c r="AM437" i="1"/>
  <c r="AM200" i="1"/>
  <c r="AM214" i="1"/>
  <c r="AM440" i="1"/>
  <c r="AM318" i="1"/>
  <c r="AM306" i="1"/>
  <c r="AM447" i="1"/>
  <c r="AM86" i="1"/>
  <c r="AM227" i="1"/>
  <c r="AM161" i="1"/>
  <c r="AM131" i="1"/>
  <c r="AM260" i="1"/>
  <c r="AM42" i="1"/>
  <c r="AM267" i="1"/>
  <c r="AM311" i="1"/>
  <c r="AM328" i="1"/>
  <c r="AM305" i="1"/>
  <c r="AM308" i="1"/>
  <c r="AM27" i="1"/>
  <c r="AM28" i="1"/>
  <c r="AM423" i="1"/>
  <c r="AM94" i="1"/>
  <c r="AM456" i="1"/>
  <c r="AM53" i="1"/>
  <c r="AM291" i="1"/>
  <c r="AM457" i="1"/>
  <c r="AM402" i="1"/>
  <c r="AM236" i="1"/>
  <c r="AM149" i="1"/>
  <c r="AM359" i="1"/>
  <c r="AM307" i="1"/>
  <c r="AM450" i="1"/>
  <c r="AM20" i="1"/>
  <c r="AM32" i="1"/>
  <c r="AM273" i="1"/>
  <c r="AM337" i="1"/>
  <c r="AM208" i="1"/>
  <c r="AM130" i="1"/>
  <c r="AM317" i="1"/>
  <c r="AM321" i="1"/>
  <c r="AM442" i="1"/>
  <c r="AM410" i="1"/>
  <c r="AM242" i="1"/>
  <c r="AM247" i="1"/>
  <c r="AM142" i="1"/>
  <c r="AM259" i="1"/>
  <c r="AM191" i="1"/>
  <c r="AM379" i="1"/>
  <c r="AM254" i="1"/>
  <c r="AM137" i="1"/>
  <c r="AM454" i="1"/>
  <c r="AM429" i="1"/>
  <c r="AM417" i="1"/>
  <c r="AM281" i="1"/>
  <c r="AM352" i="1"/>
  <c r="AM334" i="1"/>
  <c r="AM382" i="1"/>
  <c r="AM45" i="1"/>
  <c r="AM56" i="1"/>
  <c r="AM375" i="1"/>
  <c r="AM347" i="1"/>
  <c r="AM100" i="1"/>
  <c r="AM388" i="1"/>
  <c r="AM209" i="1"/>
  <c r="AM349" i="1"/>
  <c r="AM217" i="1"/>
  <c r="AM368" i="1"/>
  <c r="AM193" i="1"/>
  <c r="AM449" i="1"/>
  <c r="AM107" i="1"/>
  <c r="AM135" i="1"/>
  <c r="AM390" i="1"/>
  <c r="AM95" i="1"/>
  <c r="AM458" i="1"/>
  <c r="AM9" i="1"/>
  <c r="AM451" i="1"/>
  <c r="AM266" i="1"/>
  <c r="AM453" i="1"/>
  <c r="AM35" i="1"/>
  <c r="AM464" i="1"/>
  <c r="AM252" i="1"/>
  <c r="AM314" i="1"/>
  <c r="AM455" i="1"/>
  <c r="AM159" i="1"/>
  <c r="AM206" i="1"/>
  <c r="AM185" i="1"/>
  <c r="AM146" i="1"/>
  <c r="AM354" i="1"/>
  <c r="AM346" i="1"/>
  <c r="AM19" i="1"/>
  <c r="AM30" i="1"/>
  <c r="AM177" i="1"/>
  <c r="AM248" i="1"/>
  <c r="AM452" i="1"/>
  <c r="AM263" i="1"/>
  <c r="AM89" i="1"/>
  <c r="AM411" i="1"/>
  <c r="AM170" i="1"/>
  <c r="AM358" i="1"/>
  <c r="AM326" i="1"/>
  <c r="AM303" i="1"/>
  <c r="AM251" i="1"/>
  <c r="AM152" i="1"/>
  <c r="AM435" i="1"/>
  <c r="AM300" i="1"/>
  <c r="AM111" i="1"/>
  <c r="AM290" i="1"/>
  <c r="AM413" i="1"/>
  <c r="AM249" i="1"/>
  <c r="AM257" i="1"/>
  <c r="AM145" i="1"/>
  <c r="AM112" i="1"/>
  <c r="AM255" i="1"/>
  <c r="AM235" i="1"/>
  <c r="AM428" i="1"/>
  <c r="C24" i="4" l="1"/>
  <c r="K4" i="4"/>
  <c r="C26" i="4"/>
  <c r="B25" i="4"/>
  <c r="C25" i="4" s="1"/>
  <c r="N3" i="4"/>
  <c r="O3" i="4" s="1"/>
  <c r="P3" i="4" s="1"/>
  <c r="F8" i="4"/>
  <c r="F4" i="4"/>
  <c r="F6" i="4"/>
  <c r="F5" i="4"/>
  <c r="D9" i="3"/>
  <c r="F10" i="4"/>
  <c r="F7" i="4"/>
  <c r="F11" i="4"/>
  <c r="F9" i="4"/>
  <c r="F16" i="4"/>
  <c r="F15" i="4"/>
  <c r="F14" i="4"/>
  <c r="F13" i="4"/>
  <c r="F12" i="4"/>
  <c r="I1" i="2"/>
  <c r="D4" i="3" l="1"/>
  <c r="D11" i="3"/>
  <c r="D5" i="3"/>
  <c r="D15" i="3"/>
  <c r="D10" i="3"/>
  <c r="D14" i="3"/>
  <c r="D7" i="3"/>
  <c r="D12" i="3"/>
  <c r="D8" i="3"/>
  <c r="D13" i="3"/>
  <c r="D6" i="3"/>
  <c r="N23" i="4" l="1"/>
  <c r="O23" i="4" s="1"/>
  <c r="P23" i="4" s="1"/>
  <c r="N22" i="4"/>
  <c r="O22" i="4" s="1"/>
  <c r="P22" i="4" s="1"/>
  <c r="N21" i="4"/>
  <c r="O21" i="4" s="1"/>
  <c r="P21" i="4" s="1"/>
  <c r="N20" i="4"/>
  <c r="O20" i="4" s="1"/>
  <c r="P20" i="4" s="1"/>
  <c r="N19" i="4"/>
  <c r="O19" i="4" s="1"/>
  <c r="P19" i="4" s="1"/>
  <c r="N18" i="4"/>
  <c r="O18" i="4" s="1"/>
  <c r="P18" i="4" s="1"/>
  <c r="N17" i="4"/>
  <c r="O17" i="4" s="1"/>
  <c r="P17" i="4" s="1"/>
  <c r="N16" i="4"/>
  <c r="O16" i="4" s="1"/>
  <c r="P16" i="4" s="1"/>
  <c r="N15" i="4"/>
  <c r="O15" i="4" s="1"/>
  <c r="P15" i="4" s="1"/>
  <c r="N14" i="4"/>
  <c r="O14" i="4" s="1"/>
  <c r="P14" i="4" s="1"/>
  <c r="N13" i="4"/>
  <c r="O13" i="4" s="1"/>
  <c r="P13" i="4" s="1"/>
  <c r="N12" i="4"/>
  <c r="O12" i="4" s="1"/>
  <c r="P12" i="4" s="1"/>
  <c r="N11" i="4"/>
  <c r="O11" i="4" s="1"/>
  <c r="P11" i="4" s="1"/>
  <c r="N10" i="4"/>
  <c r="O10" i="4" s="1"/>
  <c r="P10" i="4" s="1"/>
  <c r="N9" i="4"/>
  <c r="O9" i="4" s="1"/>
  <c r="P9" i="4" s="1"/>
  <c r="N8" i="4"/>
  <c r="O8" i="4" s="1"/>
  <c r="P8" i="4" s="1"/>
  <c r="N7" i="4"/>
  <c r="O7" i="4" s="1"/>
  <c r="P7" i="4" s="1"/>
  <c r="N6" i="4"/>
  <c r="O6" i="4" s="1"/>
  <c r="P6" i="4" s="1"/>
  <c r="N5" i="4"/>
  <c r="O5" i="4" s="1"/>
  <c r="P5" i="4" s="1"/>
  <c r="N4" i="4"/>
  <c r="O4" i="4" s="1"/>
  <c r="P4" i="4" s="1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G1" i="2" l="1"/>
  <c r="I3" i="2" s="1" a="1"/>
  <c r="F1" i="2"/>
  <c r="H3" i="2" s="1" a="1"/>
  <c r="H3" i="2" l="1"/>
  <c r="J3" i="2" s="1" a="1"/>
  <c r="H198" i="2"/>
  <c r="H190" i="2"/>
  <c r="H182" i="2"/>
  <c r="H174" i="2"/>
  <c r="H166" i="2"/>
  <c r="H158" i="2"/>
  <c r="H150" i="2"/>
  <c r="H142" i="2"/>
  <c r="H134" i="2"/>
  <c r="H126" i="2"/>
  <c r="H118" i="2"/>
  <c r="H110" i="2"/>
  <c r="H102" i="2"/>
  <c r="H94" i="2"/>
  <c r="H86" i="2"/>
  <c r="H78" i="2"/>
  <c r="H70" i="2"/>
  <c r="H62" i="2"/>
  <c r="H54" i="2"/>
  <c r="H46" i="2"/>
  <c r="H38" i="2"/>
  <c r="H30" i="2"/>
  <c r="H22" i="2"/>
  <c r="H14" i="2"/>
  <c r="H6" i="2"/>
  <c r="H151" i="2"/>
  <c r="H95" i="2"/>
  <c r="H55" i="2"/>
  <c r="H197" i="2"/>
  <c r="H189" i="2"/>
  <c r="H181" i="2"/>
  <c r="H173" i="2"/>
  <c r="H165" i="2"/>
  <c r="H157" i="2"/>
  <c r="H149" i="2"/>
  <c r="H141" i="2"/>
  <c r="H133" i="2"/>
  <c r="H125" i="2"/>
  <c r="H117" i="2"/>
  <c r="H109" i="2"/>
  <c r="H101" i="2"/>
  <c r="H93" i="2"/>
  <c r="H85" i="2"/>
  <c r="H77" i="2"/>
  <c r="H69" i="2"/>
  <c r="H61" i="2"/>
  <c r="H53" i="2"/>
  <c r="H45" i="2"/>
  <c r="H37" i="2"/>
  <c r="H29" i="2"/>
  <c r="H21" i="2"/>
  <c r="H13" i="2"/>
  <c r="H5" i="2"/>
  <c r="H167" i="2"/>
  <c r="H119" i="2"/>
  <c r="H71" i="2"/>
  <c r="H31" i="2"/>
  <c r="H196" i="2"/>
  <c r="H188" i="2"/>
  <c r="H180" i="2"/>
  <c r="H172" i="2"/>
  <c r="H164" i="2"/>
  <c r="H156" i="2"/>
  <c r="H148" i="2"/>
  <c r="H140" i="2"/>
  <c r="H132" i="2"/>
  <c r="H124" i="2"/>
  <c r="H116" i="2"/>
  <c r="H108" i="2"/>
  <c r="H100" i="2"/>
  <c r="H92" i="2"/>
  <c r="H84" i="2"/>
  <c r="H76" i="2"/>
  <c r="H68" i="2"/>
  <c r="H60" i="2"/>
  <c r="H52" i="2"/>
  <c r="H44" i="2"/>
  <c r="H36" i="2"/>
  <c r="H28" i="2"/>
  <c r="H20" i="2"/>
  <c r="H12" i="2"/>
  <c r="H4" i="2"/>
  <c r="H143" i="2"/>
  <c r="H15" i="2"/>
  <c r="H195" i="2"/>
  <c r="H187" i="2"/>
  <c r="H179" i="2"/>
  <c r="H171" i="2"/>
  <c r="H163" i="2"/>
  <c r="H155" i="2"/>
  <c r="H147" i="2"/>
  <c r="H139" i="2"/>
  <c r="H131" i="2"/>
  <c r="H123" i="2"/>
  <c r="H115" i="2"/>
  <c r="H107" i="2"/>
  <c r="H99" i="2"/>
  <c r="H91" i="2"/>
  <c r="H83" i="2"/>
  <c r="H75" i="2"/>
  <c r="H67" i="2"/>
  <c r="H59" i="2"/>
  <c r="H51" i="2"/>
  <c r="H43" i="2"/>
  <c r="H35" i="2"/>
  <c r="H27" i="2"/>
  <c r="H19" i="2"/>
  <c r="H11" i="2"/>
  <c r="H199" i="2"/>
  <c r="H159" i="2"/>
  <c r="H103" i="2"/>
  <c r="H47" i="2"/>
  <c r="H7" i="2"/>
  <c r="H202" i="2"/>
  <c r="H194" i="2"/>
  <c r="H186" i="2"/>
  <c r="H178" i="2"/>
  <c r="H170" i="2"/>
  <c r="H162" i="2"/>
  <c r="H154" i="2"/>
  <c r="H146" i="2"/>
  <c r="H138" i="2"/>
  <c r="H130" i="2"/>
  <c r="H122" i="2"/>
  <c r="H114" i="2"/>
  <c r="H106" i="2"/>
  <c r="H98" i="2"/>
  <c r="H90" i="2"/>
  <c r="H82" i="2"/>
  <c r="H74" i="2"/>
  <c r="H66" i="2"/>
  <c r="H58" i="2"/>
  <c r="H50" i="2"/>
  <c r="H42" i="2"/>
  <c r="H34" i="2"/>
  <c r="H26" i="2"/>
  <c r="H18" i="2"/>
  <c r="H10" i="2"/>
  <c r="H183" i="2"/>
  <c r="H135" i="2"/>
  <c r="H87" i="2"/>
  <c r="H39" i="2"/>
  <c r="H201" i="2"/>
  <c r="H193" i="2"/>
  <c r="H185" i="2"/>
  <c r="H177" i="2"/>
  <c r="H169" i="2"/>
  <c r="H161" i="2"/>
  <c r="H153" i="2"/>
  <c r="H145" i="2"/>
  <c r="H137" i="2"/>
  <c r="H129" i="2"/>
  <c r="H121" i="2"/>
  <c r="H113" i="2"/>
  <c r="H105" i="2"/>
  <c r="H97" i="2"/>
  <c r="H89" i="2"/>
  <c r="H81" i="2"/>
  <c r="H73" i="2"/>
  <c r="H65" i="2"/>
  <c r="H57" i="2"/>
  <c r="H49" i="2"/>
  <c r="H41" i="2"/>
  <c r="H33" i="2"/>
  <c r="H25" i="2"/>
  <c r="H17" i="2"/>
  <c r="H9" i="2"/>
  <c r="H175" i="2"/>
  <c r="H111" i="2"/>
  <c r="H63" i="2"/>
  <c r="H200" i="2"/>
  <c r="H192" i="2"/>
  <c r="H184" i="2"/>
  <c r="H176" i="2"/>
  <c r="H168" i="2"/>
  <c r="H160" i="2"/>
  <c r="H152" i="2"/>
  <c r="H144" i="2"/>
  <c r="H136" i="2"/>
  <c r="H128" i="2"/>
  <c r="H120" i="2"/>
  <c r="H112" i="2"/>
  <c r="H104" i="2"/>
  <c r="H96" i="2"/>
  <c r="H88" i="2"/>
  <c r="H80" i="2"/>
  <c r="H72" i="2"/>
  <c r="H64" i="2"/>
  <c r="H56" i="2"/>
  <c r="H48" i="2"/>
  <c r="H40" i="2"/>
  <c r="H32" i="2"/>
  <c r="H24" i="2"/>
  <c r="H16" i="2"/>
  <c r="H8" i="2"/>
  <c r="H191" i="2"/>
  <c r="H127" i="2"/>
  <c r="H79" i="2"/>
  <c r="H23" i="2"/>
  <c r="I3" i="2"/>
  <c r="K3" i="2" s="1" a="1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I23" i="2"/>
  <c r="I15" i="2"/>
  <c r="I7" i="2"/>
  <c r="I144" i="2"/>
  <c r="I104" i="2"/>
  <c r="I32" i="2"/>
  <c r="I8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I30" i="2"/>
  <c r="I22" i="2"/>
  <c r="I14" i="2"/>
  <c r="I6" i="2"/>
  <c r="I192" i="2"/>
  <c r="I152" i="2"/>
  <c r="I120" i="2"/>
  <c r="I64" i="2"/>
  <c r="I24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I29" i="2"/>
  <c r="I21" i="2"/>
  <c r="I13" i="2"/>
  <c r="I5" i="2"/>
  <c r="I80" i="2"/>
  <c r="I196" i="2"/>
  <c r="I188" i="2"/>
  <c r="I180" i="2"/>
  <c r="I172" i="2"/>
  <c r="I164" i="2"/>
  <c r="I156" i="2"/>
  <c r="I148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I28" i="2"/>
  <c r="I20" i="2"/>
  <c r="I12" i="2"/>
  <c r="I4" i="2"/>
  <c r="I200" i="2"/>
  <c r="I136" i="2"/>
  <c r="I96" i="2"/>
  <c r="I40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I27" i="2"/>
  <c r="I19" i="2"/>
  <c r="I11" i="2"/>
  <c r="I184" i="2"/>
  <c r="I160" i="2"/>
  <c r="I128" i="2"/>
  <c r="I112" i="2"/>
  <c r="I88" i="2"/>
  <c r="I56" i="2"/>
  <c r="I16" i="2"/>
  <c r="I202" i="2"/>
  <c r="I194" i="2"/>
  <c r="I186" i="2"/>
  <c r="I178" i="2"/>
  <c r="I170" i="2"/>
  <c r="I162" i="2"/>
  <c r="I15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I26" i="2"/>
  <c r="I18" i="2"/>
  <c r="I10" i="2"/>
  <c r="I168" i="2"/>
  <c r="I48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I25" i="2"/>
  <c r="I17" i="2"/>
  <c r="I9" i="2"/>
  <c r="I176" i="2"/>
  <c r="I72" i="2"/>
  <c r="K3" i="2" l="1"/>
  <c r="K202" i="2"/>
  <c r="K194" i="2"/>
  <c r="K186" i="2"/>
  <c r="K178" i="2"/>
  <c r="K170" i="2"/>
  <c r="K162" i="2"/>
  <c r="K154" i="2"/>
  <c r="K146" i="2"/>
  <c r="K138" i="2"/>
  <c r="K130" i="2"/>
  <c r="K122" i="2"/>
  <c r="K114" i="2"/>
  <c r="K106" i="2"/>
  <c r="K98" i="2"/>
  <c r="K90" i="2"/>
  <c r="K82" i="2"/>
  <c r="K74" i="2"/>
  <c r="K66" i="2"/>
  <c r="K58" i="2"/>
  <c r="K50" i="2"/>
  <c r="K42" i="2"/>
  <c r="K34" i="2"/>
  <c r="K26" i="2"/>
  <c r="K201" i="2"/>
  <c r="K193" i="2"/>
  <c r="K185" i="2"/>
  <c r="K177" i="2"/>
  <c r="K169" i="2"/>
  <c r="K161" i="2"/>
  <c r="K153" i="2"/>
  <c r="K145" i="2"/>
  <c r="K137" i="2"/>
  <c r="K129" i="2"/>
  <c r="K121" i="2"/>
  <c r="K113" i="2"/>
  <c r="K105" i="2"/>
  <c r="K97" i="2"/>
  <c r="K89" i="2"/>
  <c r="K81" i="2"/>
  <c r="K73" i="2"/>
  <c r="K65" i="2"/>
  <c r="K200" i="2"/>
  <c r="K192" i="2"/>
  <c r="K184" i="2"/>
  <c r="K176" i="2"/>
  <c r="K168" i="2"/>
  <c r="K160" i="2"/>
  <c r="K152" i="2"/>
  <c r="K144" i="2"/>
  <c r="K136" i="2"/>
  <c r="K128" i="2"/>
  <c r="K120" i="2"/>
  <c r="K112" i="2"/>
  <c r="K104" i="2"/>
  <c r="K96" i="2"/>
  <c r="K88" i="2"/>
  <c r="K80" i="2"/>
  <c r="K72" i="2"/>
  <c r="K199" i="2"/>
  <c r="K191" i="2"/>
  <c r="K183" i="2"/>
  <c r="K175" i="2"/>
  <c r="K167" i="2"/>
  <c r="K159" i="2"/>
  <c r="K151" i="2"/>
  <c r="K143" i="2"/>
  <c r="K135" i="2"/>
  <c r="K127" i="2"/>
  <c r="K119" i="2"/>
  <c r="K111" i="2"/>
  <c r="K103" i="2"/>
  <c r="K95" i="2"/>
  <c r="K198" i="2"/>
  <c r="K190" i="2"/>
  <c r="K182" i="2"/>
  <c r="K174" i="2"/>
  <c r="K166" i="2"/>
  <c r="K158" i="2"/>
  <c r="K150" i="2"/>
  <c r="K142" i="2"/>
  <c r="K134" i="2"/>
  <c r="K126" i="2"/>
  <c r="K118" i="2"/>
  <c r="K110" i="2"/>
  <c r="K102" i="2"/>
  <c r="K94" i="2"/>
  <c r="K86" i="2"/>
  <c r="K78" i="2"/>
  <c r="K70" i="2"/>
  <c r="K62" i="2"/>
  <c r="K54" i="2"/>
  <c r="K46" i="2"/>
  <c r="K38" i="2"/>
  <c r="K30" i="2"/>
  <c r="K22" i="2"/>
  <c r="K197" i="2"/>
  <c r="K189" i="2"/>
  <c r="K181" i="2"/>
  <c r="K173" i="2"/>
  <c r="K165" i="2"/>
  <c r="K157" i="2"/>
  <c r="K149" i="2"/>
  <c r="K141" i="2"/>
  <c r="K133" i="2"/>
  <c r="K125" i="2"/>
  <c r="K117" i="2"/>
  <c r="K109" i="2"/>
  <c r="K101" i="2"/>
  <c r="K93" i="2"/>
  <c r="K85" i="2"/>
  <c r="K77" i="2"/>
  <c r="K69" i="2"/>
  <c r="K196" i="2"/>
  <c r="K188" i="2"/>
  <c r="K180" i="2"/>
  <c r="K172" i="2"/>
  <c r="K164" i="2"/>
  <c r="K156" i="2"/>
  <c r="K148" i="2"/>
  <c r="K140" i="2"/>
  <c r="K132" i="2"/>
  <c r="K124" i="2"/>
  <c r="K116" i="2"/>
  <c r="K108" i="2"/>
  <c r="K100" i="2"/>
  <c r="K92" i="2"/>
  <c r="K84" i="2"/>
  <c r="K76" i="2"/>
  <c r="K68" i="2"/>
  <c r="K195" i="2"/>
  <c r="K131" i="2"/>
  <c r="K79" i="2"/>
  <c r="K59" i="2"/>
  <c r="K48" i="2"/>
  <c r="K37" i="2"/>
  <c r="K27" i="2"/>
  <c r="K17" i="2"/>
  <c r="K9" i="2"/>
  <c r="K187" i="2"/>
  <c r="K123" i="2"/>
  <c r="K75" i="2"/>
  <c r="K57" i="2"/>
  <c r="K47" i="2"/>
  <c r="K36" i="2"/>
  <c r="K25" i="2"/>
  <c r="K16" i="2"/>
  <c r="K8" i="2"/>
  <c r="K139" i="2"/>
  <c r="K60" i="2"/>
  <c r="K39" i="2"/>
  <c r="K10" i="2"/>
  <c r="K179" i="2"/>
  <c r="K115" i="2"/>
  <c r="K71" i="2"/>
  <c r="K56" i="2"/>
  <c r="K45" i="2"/>
  <c r="K35" i="2"/>
  <c r="K24" i="2"/>
  <c r="K15" i="2"/>
  <c r="K7" i="2"/>
  <c r="K171" i="2"/>
  <c r="K107" i="2"/>
  <c r="K67" i="2"/>
  <c r="K55" i="2"/>
  <c r="K44" i="2"/>
  <c r="K33" i="2"/>
  <c r="K23" i="2"/>
  <c r="K14" i="2"/>
  <c r="K6" i="2"/>
  <c r="K163" i="2"/>
  <c r="K99" i="2"/>
  <c r="K64" i="2"/>
  <c r="K53" i="2"/>
  <c r="K43" i="2"/>
  <c r="K32" i="2"/>
  <c r="K21" i="2"/>
  <c r="K13" i="2"/>
  <c r="K5" i="2"/>
  <c r="K83" i="2"/>
  <c r="K49" i="2"/>
  <c r="K28" i="2"/>
  <c r="K18" i="2"/>
  <c r="K155" i="2"/>
  <c r="K91" i="2"/>
  <c r="K63" i="2"/>
  <c r="K52" i="2"/>
  <c r="K41" i="2"/>
  <c r="K31" i="2"/>
  <c r="K20" i="2"/>
  <c r="K12" i="2"/>
  <c r="K4" i="2"/>
  <c r="K147" i="2"/>
  <c r="K87" i="2"/>
  <c r="K61" i="2"/>
  <c r="K51" i="2"/>
  <c r="K40" i="2"/>
  <c r="K29" i="2"/>
  <c r="K19" i="2"/>
  <c r="K11" i="2"/>
  <c r="J3" i="2"/>
  <c r="J200" i="2"/>
  <c r="J192" i="2"/>
  <c r="J184" i="2"/>
  <c r="J176" i="2"/>
  <c r="J168" i="2"/>
  <c r="J160" i="2"/>
  <c r="J152" i="2"/>
  <c r="J144" i="2"/>
  <c r="J136" i="2"/>
  <c r="J128" i="2"/>
  <c r="J120" i="2"/>
  <c r="J112" i="2"/>
  <c r="J104" i="2"/>
  <c r="J96" i="2"/>
  <c r="J88" i="2"/>
  <c r="J80" i="2"/>
  <c r="J72" i="2"/>
  <c r="J64" i="2"/>
  <c r="J56" i="2"/>
  <c r="J48" i="2"/>
  <c r="J40" i="2"/>
  <c r="J32" i="2"/>
  <c r="J24" i="2"/>
  <c r="J16" i="2"/>
  <c r="J8" i="2"/>
  <c r="J153" i="2"/>
  <c r="J33" i="2"/>
  <c r="J199" i="2"/>
  <c r="J191" i="2"/>
  <c r="J183" i="2"/>
  <c r="J175" i="2"/>
  <c r="J167" i="2"/>
  <c r="J159" i="2"/>
  <c r="J151" i="2"/>
  <c r="J143" i="2"/>
  <c r="J135" i="2"/>
  <c r="J127" i="2"/>
  <c r="J119" i="2"/>
  <c r="J111" i="2"/>
  <c r="J103" i="2"/>
  <c r="J95" i="2"/>
  <c r="J87" i="2"/>
  <c r="J79" i="2"/>
  <c r="J71" i="2"/>
  <c r="J63" i="2"/>
  <c r="J55" i="2"/>
  <c r="J47" i="2"/>
  <c r="J39" i="2"/>
  <c r="J31" i="2"/>
  <c r="J23" i="2"/>
  <c r="J15" i="2"/>
  <c r="J7" i="2"/>
  <c r="J193" i="2"/>
  <c r="J177" i="2"/>
  <c r="J137" i="2"/>
  <c r="J97" i="2"/>
  <c r="J81" i="2"/>
  <c r="J65" i="2"/>
  <c r="J49" i="2"/>
  <c r="J17" i="2"/>
  <c r="J198" i="2"/>
  <c r="J190" i="2"/>
  <c r="J182" i="2"/>
  <c r="J174" i="2"/>
  <c r="J166" i="2"/>
  <c r="J158" i="2"/>
  <c r="J150" i="2"/>
  <c r="J142" i="2"/>
  <c r="J134" i="2"/>
  <c r="J126" i="2"/>
  <c r="J118" i="2"/>
  <c r="J110" i="2"/>
  <c r="J102" i="2"/>
  <c r="J94" i="2"/>
  <c r="J86" i="2"/>
  <c r="J78" i="2"/>
  <c r="J70" i="2"/>
  <c r="J62" i="2"/>
  <c r="J54" i="2"/>
  <c r="J46" i="2"/>
  <c r="J38" i="2"/>
  <c r="J30" i="2"/>
  <c r="J22" i="2"/>
  <c r="J14" i="2"/>
  <c r="J6" i="2"/>
  <c r="J161" i="2"/>
  <c r="J9" i="2"/>
  <c r="J197" i="2"/>
  <c r="J189" i="2"/>
  <c r="J181" i="2"/>
  <c r="J173" i="2"/>
  <c r="J165" i="2"/>
  <c r="J157" i="2"/>
  <c r="J149" i="2"/>
  <c r="J141" i="2"/>
  <c r="J133" i="2"/>
  <c r="J125" i="2"/>
  <c r="J117" i="2"/>
  <c r="J109" i="2"/>
  <c r="J101" i="2"/>
  <c r="J93" i="2"/>
  <c r="J85" i="2"/>
  <c r="J77" i="2"/>
  <c r="J69" i="2"/>
  <c r="J61" i="2"/>
  <c r="J53" i="2"/>
  <c r="J45" i="2"/>
  <c r="J37" i="2"/>
  <c r="J29" i="2"/>
  <c r="J21" i="2"/>
  <c r="J13" i="2"/>
  <c r="J5" i="2"/>
  <c r="J121" i="2"/>
  <c r="J196" i="2"/>
  <c r="J188" i="2"/>
  <c r="J180" i="2"/>
  <c r="J172" i="2"/>
  <c r="J164" i="2"/>
  <c r="J156" i="2"/>
  <c r="J148" i="2"/>
  <c r="J140" i="2"/>
  <c r="J132" i="2"/>
  <c r="J124" i="2"/>
  <c r="J116" i="2"/>
  <c r="J108" i="2"/>
  <c r="J100" i="2"/>
  <c r="J92" i="2"/>
  <c r="J84" i="2"/>
  <c r="J76" i="2"/>
  <c r="J68" i="2"/>
  <c r="J60" i="2"/>
  <c r="J52" i="2"/>
  <c r="J44" i="2"/>
  <c r="J36" i="2"/>
  <c r="J28" i="2"/>
  <c r="J20" i="2"/>
  <c r="J12" i="2"/>
  <c r="J4" i="2"/>
  <c r="J201" i="2"/>
  <c r="J185" i="2"/>
  <c r="J169" i="2"/>
  <c r="J145" i="2"/>
  <c r="J105" i="2"/>
  <c r="J89" i="2"/>
  <c r="J73" i="2"/>
  <c r="J57" i="2"/>
  <c r="J41" i="2"/>
  <c r="J25" i="2"/>
  <c r="J195" i="2"/>
  <c r="J187" i="2"/>
  <c r="J179" i="2"/>
  <c r="J171" i="2"/>
  <c r="J163" i="2"/>
  <c r="J155" i="2"/>
  <c r="J147" i="2"/>
  <c r="J139" i="2"/>
  <c r="J131" i="2"/>
  <c r="J123" i="2"/>
  <c r="J115" i="2"/>
  <c r="J107" i="2"/>
  <c r="J99" i="2"/>
  <c r="J91" i="2"/>
  <c r="J83" i="2"/>
  <c r="J75" i="2"/>
  <c r="J67" i="2"/>
  <c r="J59" i="2"/>
  <c r="J51" i="2"/>
  <c r="J43" i="2"/>
  <c r="J35" i="2"/>
  <c r="J27" i="2"/>
  <c r="J19" i="2"/>
  <c r="J11" i="2"/>
  <c r="J113" i="2"/>
  <c r="J202" i="2"/>
  <c r="J194" i="2"/>
  <c r="J186" i="2"/>
  <c r="J178" i="2"/>
  <c r="J170" i="2"/>
  <c r="J162" i="2"/>
  <c r="J154" i="2"/>
  <c r="J146" i="2"/>
  <c r="J138" i="2"/>
  <c r="J130" i="2"/>
  <c r="J122" i="2"/>
  <c r="J114" i="2"/>
  <c r="J106" i="2"/>
  <c r="J98" i="2"/>
  <c r="J90" i="2"/>
  <c r="J82" i="2"/>
  <c r="J74" i="2"/>
  <c r="J66" i="2"/>
  <c r="J58" i="2"/>
  <c r="J50" i="2"/>
  <c r="J42" i="2"/>
  <c r="J34" i="2"/>
  <c r="J26" i="2"/>
  <c r="J18" i="2"/>
  <c r="J10" i="2"/>
  <c r="J129" i="2"/>
  <c r="L3" i="2" l="1" a="1"/>
  <c r="L3" i="2" s="1"/>
  <c r="M3" i="2" a="1"/>
  <c r="L60" i="2" l="1"/>
  <c r="L173" i="2"/>
  <c r="L166" i="2"/>
  <c r="L95" i="2"/>
  <c r="L24" i="2"/>
  <c r="L88" i="2"/>
  <c r="L17" i="2"/>
  <c r="L145" i="2"/>
  <c r="L10" i="2"/>
  <c r="L74" i="2"/>
  <c r="L138" i="2"/>
  <c r="L202" i="2"/>
  <c r="L67" i="2"/>
  <c r="L131" i="2"/>
  <c r="L195" i="2"/>
  <c r="L12" i="2"/>
  <c r="L28" i="2"/>
  <c r="L172" i="2"/>
  <c r="L188" i="2"/>
  <c r="L61" i="2"/>
  <c r="L125" i="2"/>
  <c r="L189" i="2"/>
  <c r="L54" i="2"/>
  <c r="L118" i="2"/>
  <c r="L182" i="2"/>
  <c r="L47" i="2"/>
  <c r="L111" i="2"/>
  <c r="L175" i="2"/>
  <c r="L40" i="2"/>
  <c r="L104" i="2"/>
  <c r="L168" i="2"/>
  <c r="L33" i="2"/>
  <c r="L97" i="2"/>
  <c r="L161" i="2"/>
  <c r="L26" i="2"/>
  <c r="L90" i="2"/>
  <c r="L154" i="2"/>
  <c r="L19" i="2"/>
  <c r="L83" i="2"/>
  <c r="L147" i="2"/>
  <c r="L76" i="2"/>
  <c r="L92" i="2"/>
  <c r="L68" i="2"/>
  <c r="L5" i="2"/>
  <c r="L69" i="2"/>
  <c r="L133" i="2"/>
  <c r="L197" i="2"/>
  <c r="L62" i="2"/>
  <c r="L126" i="2"/>
  <c r="L190" i="2"/>
  <c r="L55" i="2"/>
  <c r="L119" i="2"/>
  <c r="L183" i="2"/>
  <c r="L48" i="2"/>
  <c r="L112" i="2"/>
  <c r="L176" i="2"/>
  <c r="L41" i="2"/>
  <c r="L105" i="2"/>
  <c r="L169" i="2"/>
  <c r="L34" i="2"/>
  <c r="L98" i="2"/>
  <c r="L162" i="2"/>
  <c r="L27" i="2"/>
  <c r="L91" i="2"/>
  <c r="L155" i="2"/>
  <c r="L4" i="2"/>
  <c r="L109" i="2"/>
  <c r="L102" i="2"/>
  <c r="L159" i="2"/>
  <c r="L81" i="2"/>
  <c r="L140" i="2"/>
  <c r="L196" i="2"/>
  <c r="L77" i="2"/>
  <c r="L6" i="2"/>
  <c r="L70" i="2"/>
  <c r="L198" i="2"/>
  <c r="L127" i="2"/>
  <c r="L56" i="2"/>
  <c r="L184" i="2"/>
  <c r="L113" i="2"/>
  <c r="L42" i="2"/>
  <c r="L35" i="2"/>
  <c r="L163" i="2"/>
  <c r="L36" i="2"/>
  <c r="L21" i="2"/>
  <c r="L149" i="2"/>
  <c r="L78" i="2"/>
  <c r="L7" i="2"/>
  <c r="L135" i="2"/>
  <c r="L64" i="2"/>
  <c r="L192" i="2"/>
  <c r="L121" i="2"/>
  <c r="L50" i="2"/>
  <c r="L178" i="2"/>
  <c r="L171" i="2"/>
  <c r="L84" i="2"/>
  <c r="L100" i="2"/>
  <c r="L116" i="2"/>
  <c r="L29" i="2"/>
  <c r="L93" i="2"/>
  <c r="L157" i="2"/>
  <c r="L22" i="2"/>
  <c r="L86" i="2"/>
  <c r="L150" i="2"/>
  <c r="L15" i="2"/>
  <c r="L79" i="2"/>
  <c r="L143" i="2"/>
  <c r="L8" i="2"/>
  <c r="L72" i="2"/>
  <c r="L136" i="2"/>
  <c r="L200" i="2"/>
  <c r="L65" i="2"/>
  <c r="L129" i="2"/>
  <c r="L193" i="2"/>
  <c r="L58" i="2"/>
  <c r="L122" i="2"/>
  <c r="L186" i="2"/>
  <c r="L51" i="2"/>
  <c r="L115" i="2"/>
  <c r="L179" i="2"/>
  <c r="L44" i="2"/>
  <c r="L45" i="2"/>
  <c r="L38" i="2"/>
  <c r="L31" i="2"/>
  <c r="L152" i="2"/>
  <c r="L156" i="2"/>
  <c r="L13" i="2"/>
  <c r="L141" i="2"/>
  <c r="L134" i="2"/>
  <c r="L63" i="2"/>
  <c r="L191" i="2"/>
  <c r="L120" i="2"/>
  <c r="L49" i="2"/>
  <c r="L177" i="2"/>
  <c r="L106" i="2"/>
  <c r="L170" i="2"/>
  <c r="L99" i="2"/>
  <c r="L20" i="2"/>
  <c r="L52" i="2"/>
  <c r="L85" i="2"/>
  <c r="L14" i="2"/>
  <c r="L142" i="2"/>
  <c r="L71" i="2"/>
  <c r="L199" i="2"/>
  <c r="L128" i="2"/>
  <c r="L57" i="2"/>
  <c r="L185" i="2"/>
  <c r="L114" i="2"/>
  <c r="L43" i="2"/>
  <c r="L107" i="2"/>
  <c r="L148" i="2"/>
  <c r="L164" i="2"/>
  <c r="L180" i="2"/>
  <c r="L37" i="2"/>
  <c r="L101" i="2"/>
  <c r="L165" i="2"/>
  <c r="L30" i="2"/>
  <c r="L94" i="2"/>
  <c r="L158" i="2"/>
  <c r="L23" i="2"/>
  <c r="L87" i="2"/>
  <c r="L151" i="2"/>
  <c r="L16" i="2"/>
  <c r="L80" i="2"/>
  <c r="L144" i="2"/>
  <c r="L9" i="2"/>
  <c r="L73" i="2"/>
  <c r="L137" i="2"/>
  <c r="L201" i="2"/>
  <c r="L66" i="2"/>
  <c r="L130" i="2"/>
  <c r="L194" i="2"/>
  <c r="L59" i="2"/>
  <c r="L123" i="2"/>
  <c r="L187" i="2"/>
  <c r="L132" i="2"/>
  <c r="L108" i="2"/>
  <c r="L124" i="2"/>
  <c r="L53" i="2"/>
  <c r="L117" i="2"/>
  <c r="L181" i="2"/>
  <c r="L46" i="2"/>
  <c r="L110" i="2"/>
  <c r="L174" i="2"/>
  <c r="L39" i="2"/>
  <c r="L103" i="2"/>
  <c r="L167" i="2"/>
  <c r="L32" i="2"/>
  <c r="L96" i="2"/>
  <c r="L160" i="2"/>
  <c r="L25" i="2"/>
  <c r="L89" i="2"/>
  <c r="L153" i="2"/>
  <c r="L18" i="2"/>
  <c r="L82" i="2"/>
  <c r="L146" i="2"/>
  <c r="L11" i="2"/>
  <c r="L75" i="2"/>
  <c r="L139" i="2"/>
  <c r="M3" i="2"/>
  <c r="M196" i="2"/>
  <c r="M188" i="2"/>
  <c r="M180" i="2"/>
  <c r="M172" i="2"/>
  <c r="M164" i="2"/>
  <c r="M156" i="2"/>
  <c r="M148" i="2"/>
  <c r="M140" i="2"/>
  <c r="M132" i="2"/>
  <c r="M124" i="2"/>
  <c r="M116" i="2"/>
  <c r="M108" i="2"/>
  <c r="M100" i="2"/>
  <c r="M92" i="2"/>
  <c r="M84" i="2"/>
  <c r="M76" i="2"/>
  <c r="M68" i="2"/>
  <c r="M60" i="2"/>
  <c r="M52" i="2"/>
  <c r="M44" i="2"/>
  <c r="M36" i="2"/>
  <c r="M28" i="2"/>
  <c r="M20" i="2"/>
  <c r="M12" i="2"/>
  <c r="M4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202" i="2"/>
  <c r="M194" i="2"/>
  <c r="M186" i="2"/>
  <c r="M178" i="2"/>
  <c r="M170" i="2"/>
  <c r="M162" i="2"/>
  <c r="M154" i="2"/>
  <c r="M146" i="2"/>
  <c r="M138" i="2"/>
  <c r="M130" i="2"/>
  <c r="M122" i="2"/>
  <c r="M114" i="2"/>
  <c r="M106" i="2"/>
  <c r="M98" i="2"/>
  <c r="M90" i="2"/>
  <c r="M82" i="2"/>
  <c r="M74" i="2"/>
  <c r="M66" i="2"/>
  <c r="M58" i="2"/>
  <c r="M50" i="2"/>
  <c r="M42" i="2"/>
  <c r="M34" i="2"/>
  <c r="M26" i="2"/>
  <c r="M18" i="2"/>
  <c r="M10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199" i="2"/>
  <c r="M191" i="2"/>
  <c r="M183" i="2"/>
  <c r="M175" i="2"/>
  <c r="M167" i="2"/>
  <c r="M159" i="2"/>
  <c r="M151" i="2"/>
  <c r="M143" i="2"/>
  <c r="M135" i="2"/>
  <c r="M127" i="2"/>
  <c r="M119" i="2"/>
  <c r="M111" i="2"/>
  <c r="M103" i="2"/>
  <c r="M95" i="2"/>
  <c r="M87" i="2"/>
  <c r="M79" i="2"/>
  <c r="M71" i="2"/>
  <c r="M63" i="2"/>
  <c r="M55" i="2"/>
  <c r="M47" i="2"/>
  <c r="M39" i="2"/>
  <c r="M31" i="2"/>
  <c r="M23" i="2"/>
  <c r="M15" i="2"/>
  <c r="M7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181" i="2"/>
  <c r="M117" i="2"/>
  <c r="M53" i="2"/>
  <c r="M173" i="2"/>
  <c r="M109" i="2"/>
  <c r="M45" i="2"/>
  <c r="M125" i="2"/>
  <c r="M165" i="2"/>
  <c r="M101" i="2"/>
  <c r="M37" i="2"/>
  <c r="M157" i="2"/>
  <c r="M93" i="2"/>
  <c r="M29" i="2"/>
  <c r="M149" i="2"/>
  <c r="M85" i="2"/>
  <c r="M21" i="2"/>
  <c r="M189" i="2"/>
  <c r="M61" i="2"/>
  <c r="M141" i="2"/>
  <c r="M77" i="2"/>
  <c r="M13" i="2"/>
  <c r="M197" i="2"/>
  <c r="M133" i="2"/>
  <c r="M69" i="2"/>
  <c r="M5" i="2"/>
  <c r="N4" i="2" l="1" a="1"/>
  <c r="N191" i="2" s="1"/>
  <c r="O4" i="2" a="1"/>
  <c r="N60" i="2" l="1"/>
  <c r="N76" i="2"/>
  <c r="N149" i="2"/>
  <c r="N6" i="2"/>
  <c r="N33" i="2"/>
  <c r="N161" i="2"/>
  <c r="N146" i="2"/>
  <c r="N180" i="2"/>
  <c r="N79" i="2"/>
  <c r="N86" i="2"/>
  <c r="N25" i="2"/>
  <c r="N172" i="2"/>
  <c r="N48" i="2"/>
  <c r="N160" i="2"/>
  <c r="N41" i="2"/>
  <c r="N87" i="2"/>
  <c r="N92" i="2"/>
  <c r="N13" i="2"/>
  <c r="N139" i="2"/>
  <c r="N120" i="2"/>
  <c r="N5" i="2"/>
  <c r="N45" i="2"/>
  <c r="N57" i="2"/>
  <c r="N18" i="2"/>
  <c r="N162" i="2"/>
  <c r="N150" i="2"/>
  <c r="N135" i="2"/>
  <c r="N128" i="2"/>
  <c r="N98" i="2"/>
  <c r="N200" i="2"/>
  <c r="N67" i="2"/>
  <c r="N171" i="2"/>
  <c r="N142" i="2"/>
  <c r="N53" i="2"/>
  <c r="N123" i="2"/>
  <c r="N77" i="2"/>
  <c r="N16" i="2"/>
  <c r="N56" i="2"/>
  <c r="N96" i="2"/>
  <c r="N89" i="2"/>
  <c r="N26" i="2"/>
  <c r="N100" i="2"/>
  <c r="N158" i="2"/>
  <c r="N143" i="2"/>
  <c r="N78" i="2"/>
  <c r="N165" i="2"/>
  <c r="N104" i="2"/>
  <c r="N29" i="2"/>
  <c r="N69" i="2"/>
  <c r="N112" i="2"/>
  <c r="N97" i="2"/>
  <c r="N34" i="2"/>
  <c r="N108" i="2"/>
  <c r="N7" i="2"/>
  <c r="N151" i="2"/>
  <c r="N22" i="2"/>
  <c r="N195" i="2"/>
  <c r="N71" i="2"/>
  <c r="N75" i="2"/>
  <c r="N20" i="2"/>
  <c r="N154" i="2"/>
  <c r="N125" i="2"/>
  <c r="N107" i="2"/>
  <c r="N21" i="2"/>
  <c r="N144" i="2"/>
  <c r="N43" i="2"/>
  <c r="N83" i="2"/>
  <c r="N133" i="2"/>
  <c r="N105" i="2"/>
  <c r="N82" i="2"/>
  <c r="N116" i="2"/>
  <c r="N15" i="2"/>
  <c r="N199" i="2"/>
  <c r="N62" i="2"/>
  <c r="N153" i="2"/>
  <c r="N117" i="2"/>
  <c r="N88" i="2"/>
  <c r="N169" i="2"/>
  <c r="N14" i="2"/>
  <c r="N189" i="2"/>
  <c r="N72" i="2"/>
  <c r="N12" i="2"/>
  <c r="N68" i="2"/>
  <c r="N110" i="2"/>
  <c r="N176" i="2"/>
  <c r="N121" i="2"/>
  <c r="N90" i="2"/>
  <c r="N164" i="2"/>
  <c r="N23" i="2"/>
  <c r="N4" i="2"/>
  <c r="P3" i="2" s="1" a="1"/>
  <c r="N157" i="2"/>
  <c r="N85" i="2"/>
  <c r="N147" i="2"/>
  <c r="N203" i="2"/>
  <c r="N46" i="2"/>
  <c r="N101" i="2"/>
  <c r="N187" i="2"/>
  <c r="N102" i="2"/>
  <c r="N54" i="2"/>
  <c r="N192" i="2"/>
  <c r="N94" i="2"/>
  <c r="N32" i="2"/>
  <c r="N155" i="2"/>
  <c r="N49" i="2"/>
  <c r="N113" i="2"/>
  <c r="N177" i="2"/>
  <c r="N42" i="2"/>
  <c r="N106" i="2"/>
  <c r="N170" i="2"/>
  <c r="N124" i="2"/>
  <c r="N188" i="2"/>
  <c r="N166" i="2"/>
  <c r="N31" i="2"/>
  <c r="N95" i="2"/>
  <c r="N159" i="2"/>
  <c r="N185" i="2"/>
  <c r="N50" i="2"/>
  <c r="N114" i="2"/>
  <c r="N178" i="2"/>
  <c r="N132" i="2"/>
  <c r="N196" i="2"/>
  <c r="N174" i="2"/>
  <c r="N39" i="2"/>
  <c r="N103" i="2"/>
  <c r="N167" i="2"/>
  <c r="N35" i="2"/>
  <c r="N8" i="2"/>
  <c r="N11" i="2"/>
  <c r="N38" i="2"/>
  <c r="N99" i="2"/>
  <c r="N181" i="2"/>
  <c r="N24" i="2"/>
  <c r="N141" i="2"/>
  <c r="N80" i="2"/>
  <c r="N19" i="2"/>
  <c r="N131" i="2"/>
  <c r="N59" i="2"/>
  <c r="N197" i="2"/>
  <c r="N65" i="2"/>
  <c r="N129" i="2"/>
  <c r="N193" i="2"/>
  <c r="N58" i="2"/>
  <c r="N122" i="2"/>
  <c r="N186" i="2"/>
  <c r="N140" i="2"/>
  <c r="N118" i="2"/>
  <c r="N182" i="2"/>
  <c r="N47" i="2"/>
  <c r="N111" i="2"/>
  <c r="N175" i="2"/>
  <c r="N40" i="2"/>
  <c r="N115" i="2"/>
  <c r="N36" i="2"/>
  <c r="N64" i="2"/>
  <c r="N136" i="2"/>
  <c r="N27" i="2"/>
  <c r="N37" i="2"/>
  <c r="N163" i="2"/>
  <c r="N93" i="2"/>
  <c r="N30" i="2"/>
  <c r="N152" i="2"/>
  <c r="N70" i="2"/>
  <c r="N9" i="2"/>
  <c r="N73" i="2"/>
  <c r="N137" i="2"/>
  <c r="N201" i="2"/>
  <c r="N66" i="2"/>
  <c r="N130" i="2"/>
  <c r="N194" i="2"/>
  <c r="N148" i="2"/>
  <c r="N126" i="2"/>
  <c r="N190" i="2"/>
  <c r="N55" i="2"/>
  <c r="N119" i="2"/>
  <c r="N183" i="2"/>
  <c r="N168" i="2"/>
  <c r="N28" i="2"/>
  <c r="N61" i="2"/>
  <c r="N91" i="2"/>
  <c r="N179" i="2"/>
  <c r="N52" i="2"/>
  <c r="N51" i="2"/>
  <c r="N184" i="2"/>
  <c r="N109" i="2"/>
  <c r="N44" i="2"/>
  <c r="N173" i="2"/>
  <c r="N84" i="2"/>
  <c r="N17" i="2"/>
  <c r="N81" i="2"/>
  <c r="N145" i="2"/>
  <c r="N10" i="2"/>
  <c r="N74" i="2"/>
  <c r="N138" i="2"/>
  <c r="N202" i="2"/>
  <c r="N156" i="2"/>
  <c r="N134" i="2"/>
  <c r="N198" i="2"/>
  <c r="N63" i="2"/>
  <c r="N127" i="2"/>
  <c r="P134" i="2" s="1"/>
  <c r="O4" i="2"/>
  <c r="O200" i="2"/>
  <c r="O192" i="2"/>
  <c r="O184" i="2"/>
  <c r="O176" i="2"/>
  <c r="O168" i="2"/>
  <c r="O160" i="2"/>
  <c r="O152" i="2"/>
  <c r="O144" i="2"/>
  <c r="O136" i="2"/>
  <c r="O128" i="2"/>
  <c r="O120" i="2"/>
  <c r="O112" i="2"/>
  <c r="O104" i="2"/>
  <c r="O96" i="2"/>
  <c r="O88" i="2"/>
  <c r="O80" i="2"/>
  <c r="O72" i="2"/>
  <c r="O64" i="2"/>
  <c r="O56" i="2"/>
  <c r="O48" i="2"/>
  <c r="O40" i="2"/>
  <c r="O32" i="2"/>
  <c r="O24" i="2"/>
  <c r="O16" i="2"/>
  <c r="O8" i="2"/>
  <c r="O199" i="2"/>
  <c r="O191" i="2"/>
  <c r="O183" i="2"/>
  <c r="O175" i="2"/>
  <c r="O167" i="2"/>
  <c r="O159" i="2"/>
  <c r="O151" i="2"/>
  <c r="O143" i="2"/>
  <c r="O135" i="2"/>
  <c r="O127" i="2"/>
  <c r="O119" i="2"/>
  <c r="O111" i="2"/>
  <c r="O103" i="2"/>
  <c r="O95" i="2"/>
  <c r="O87" i="2"/>
  <c r="O79" i="2"/>
  <c r="O71" i="2"/>
  <c r="O63" i="2"/>
  <c r="O55" i="2"/>
  <c r="O47" i="2"/>
  <c r="O39" i="2"/>
  <c r="O31" i="2"/>
  <c r="O23" i="2"/>
  <c r="O15" i="2"/>
  <c r="O7" i="2"/>
  <c r="O198" i="2"/>
  <c r="O190" i="2"/>
  <c r="O182" i="2"/>
  <c r="O174" i="2"/>
  <c r="O166" i="2"/>
  <c r="O158" i="2"/>
  <c r="O150" i="2"/>
  <c r="O142" i="2"/>
  <c r="O197" i="2"/>
  <c r="O189" i="2"/>
  <c r="O181" i="2"/>
  <c r="O173" i="2"/>
  <c r="O165" i="2"/>
  <c r="O157" i="2"/>
  <c r="O149" i="2"/>
  <c r="O141" i="2"/>
  <c r="O133" i="2"/>
  <c r="O125" i="2"/>
  <c r="O117" i="2"/>
  <c r="O109" i="2"/>
  <c r="O101" i="2"/>
  <c r="O93" i="2"/>
  <c r="O85" i="2"/>
  <c r="O77" i="2"/>
  <c r="O69" i="2"/>
  <c r="O61" i="2"/>
  <c r="O53" i="2"/>
  <c r="O45" i="2"/>
  <c r="O37" i="2"/>
  <c r="O29" i="2"/>
  <c r="O21" i="2"/>
  <c r="O13" i="2"/>
  <c r="O5" i="2"/>
  <c r="O203" i="2"/>
  <c r="O195" i="2"/>
  <c r="O187" i="2"/>
  <c r="O179" i="2"/>
  <c r="O171" i="2"/>
  <c r="O163" i="2"/>
  <c r="O155" i="2"/>
  <c r="O147" i="2"/>
  <c r="O139" i="2"/>
  <c r="O131" i="2"/>
  <c r="O123" i="2"/>
  <c r="O115" i="2"/>
  <c r="O107" i="2"/>
  <c r="O99" i="2"/>
  <c r="O91" i="2"/>
  <c r="O83" i="2"/>
  <c r="O75" i="2"/>
  <c r="O67" i="2"/>
  <c r="O59" i="2"/>
  <c r="O51" i="2"/>
  <c r="O43" i="2"/>
  <c r="O35" i="2"/>
  <c r="O27" i="2"/>
  <c r="O19" i="2"/>
  <c r="O11" i="2"/>
  <c r="O202" i="2"/>
  <c r="O194" i="2"/>
  <c r="O186" i="2"/>
  <c r="O178" i="2"/>
  <c r="O170" i="2"/>
  <c r="O162" i="2"/>
  <c r="O154" i="2"/>
  <c r="O146" i="2"/>
  <c r="O138" i="2"/>
  <c r="O130" i="2"/>
  <c r="O122" i="2"/>
  <c r="O114" i="2"/>
  <c r="O106" i="2"/>
  <c r="O98" i="2"/>
  <c r="O90" i="2"/>
  <c r="O82" i="2"/>
  <c r="O74" i="2"/>
  <c r="O66" i="2"/>
  <c r="O58" i="2"/>
  <c r="O50" i="2"/>
  <c r="O42" i="2"/>
  <c r="O34" i="2"/>
  <c r="O26" i="2"/>
  <c r="O18" i="2"/>
  <c r="O10" i="2"/>
  <c r="O185" i="2"/>
  <c r="O153" i="2"/>
  <c r="O126" i="2"/>
  <c r="O105" i="2"/>
  <c r="O84" i="2"/>
  <c r="O62" i="2"/>
  <c r="O41" i="2"/>
  <c r="O20" i="2"/>
  <c r="O180" i="2"/>
  <c r="O148" i="2"/>
  <c r="O124" i="2"/>
  <c r="O102" i="2"/>
  <c r="O81" i="2"/>
  <c r="O60" i="2"/>
  <c r="O38" i="2"/>
  <c r="O17" i="2"/>
  <c r="O177" i="2"/>
  <c r="O145" i="2"/>
  <c r="O121" i="2"/>
  <c r="O100" i="2"/>
  <c r="O78" i="2"/>
  <c r="O57" i="2"/>
  <c r="O36" i="2"/>
  <c r="O14" i="2"/>
  <c r="O196" i="2"/>
  <c r="O164" i="2"/>
  <c r="O134" i="2"/>
  <c r="O113" i="2"/>
  <c r="O92" i="2"/>
  <c r="O70" i="2"/>
  <c r="O49" i="2"/>
  <c r="O28" i="2"/>
  <c r="O6" i="2"/>
  <c r="O169" i="2"/>
  <c r="O116" i="2"/>
  <c r="O73" i="2"/>
  <c r="O30" i="2"/>
  <c r="O161" i="2"/>
  <c r="O110" i="2"/>
  <c r="O68" i="2"/>
  <c r="O25" i="2"/>
  <c r="O156" i="2"/>
  <c r="O108" i="2"/>
  <c r="O65" i="2"/>
  <c r="O22" i="2"/>
  <c r="O201" i="2"/>
  <c r="O137" i="2"/>
  <c r="O94" i="2"/>
  <c r="O52" i="2"/>
  <c r="O9" i="2"/>
  <c r="O193" i="2"/>
  <c r="O132" i="2"/>
  <c r="O89" i="2"/>
  <c r="O46" i="2"/>
  <c r="O172" i="2"/>
  <c r="O118" i="2"/>
  <c r="O76" i="2"/>
  <c r="O33" i="2"/>
  <c r="O86" i="2"/>
  <c r="O54" i="2"/>
  <c r="O44" i="2"/>
  <c r="O12" i="2"/>
  <c r="O188" i="2"/>
  <c r="O140" i="2"/>
  <c r="O129" i="2"/>
  <c r="O97" i="2"/>
  <c r="P150" i="2" l="1"/>
  <c r="P197" i="2"/>
  <c r="P73" i="2"/>
  <c r="P125" i="2"/>
  <c r="P190" i="2"/>
  <c r="P16" i="2"/>
  <c r="P130" i="2"/>
  <c r="P187" i="2"/>
  <c r="P38" i="2"/>
  <c r="P167" i="2"/>
  <c r="P25" i="2"/>
  <c r="P82" i="2"/>
  <c r="P139" i="2"/>
  <c r="P3" i="2"/>
  <c r="P117" i="2"/>
  <c r="P166" i="2"/>
  <c r="P32" i="2"/>
  <c r="P89" i="2"/>
  <c r="P146" i="2"/>
  <c r="P4" i="2"/>
  <c r="P6" i="2"/>
  <c r="P23" i="2"/>
  <c r="P80" i="2"/>
  <c r="P137" i="2"/>
  <c r="P194" i="2"/>
  <c r="P68" i="2"/>
  <c r="P70" i="2"/>
  <c r="P39" i="2"/>
  <c r="P96" i="2"/>
  <c r="P153" i="2"/>
  <c r="P11" i="2"/>
  <c r="P132" i="2"/>
  <c r="P87" i="2"/>
  <c r="P144" i="2"/>
  <c r="P201" i="2"/>
  <c r="P59" i="2"/>
  <c r="P196" i="2"/>
  <c r="P142" i="2"/>
  <c r="P103" i="2"/>
  <c r="P160" i="2"/>
  <c r="P18" i="2"/>
  <c r="P75" i="2"/>
  <c r="P61" i="2"/>
  <c r="P22" i="2"/>
  <c r="P151" i="2"/>
  <c r="P9" i="2"/>
  <c r="P66" i="2"/>
  <c r="P123" i="2"/>
  <c r="P30" i="2"/>
  <c r="P175" i="2"/>
  <c r="P40" i="2"/>
  <c r="P104" i="2"/>
  <c r="P168" i="2"/>
  <c r="P33" i="2"/>
  <c r="P97" i="2"/>
  <c r="P161" i="2"/>
  <c r="P26" i="2"/>
  <c r="P90" i="2"/>
  <c r="P154" i="2"/>
  <c r="P19" i="2"/>
  <c r="P83" i="2"/>
  <c r="P147" i="2"/>
  <c r="P12" i="2"/>
  <c r="P76" i="2"/>
  <c r="P140" i="2"/>
  <c r="P5" i="2"/>
  <c r="P69" i="2"/>
  <c r="P133" i="2"/>
  <c r="P157" i="2"/>
  <c r="P47" i="2"/>
  <c r="P94" i="2"/>
  <c r="P55" i="2"/>
  <c r="P119" i="2"/>
  <c r="P183" i="2"/>
  <c r="P48" i="2"/>
  <c r="P112" i="2"/>
  <c r="P176" i="2"/>
  <c r="P41" i="2"/>
  <c r="P105" i="2"/>
  <c r="P169" i="2"/>
  <c r="P34" i="2"/>
  <c r="P98" i="2"/>
  <c r="P162" i="2"/>
  <c r="P27" i="2"/>
  <c r="P91" i="2"/>
  <c r="P155" i="2"/>
  <c r="P20" i="2"/>
  <c r="P84" i="2"/>
  <c r="P148" i="2"/>
  <c r="P13" i="2"/>
  <c r="P77" i="2"/>
  <c r="P141" i="2"/>
  <c r="P46" i="2"/>
  <c r="P182" i="2"/>
  <c r="P62" i="2"/>
  <c r="P14" i="2"/>
  <c r="P158" i="2"/>
  <c r="P174" i="2"/>
  <c r="P63" i="2"/>
  <c r="P127" i="2"/>
  <c r="P191" i="2"/>
  <c r="P56" i="2"/>
  <c r="P120" i="2"/>
  <c r="P184" i="2"/>
  <c r="P49" i="2"/>
  <c r="P113" i="2"/>
  <c r="P177" i="2"/>
  <c r="P42" i="2"/>
  <c r="P106" i="2"/>
  <c r="P170" i="2"/>
  <c r="P35" i="2"/>
  <c r="P99" i="2"/>
  <c r="P163" i="2"/>
  <c r="P28" i="2"/>
  <c r="P92" i="2"/>
  <c r="P156" i="2"/>
  <c r="P21" i="2"/>
  <c r="P85" i="2"/>
  <c r="P149" i="2"/>
  <c r="P198" i="2"/>
  <c r="P111" i="2"/>
  <c r="P110" i="2"/>
  <c r="P126" i="2"/>
  <c r="P78" i="2"/>
  <c r="P54" i="2"/>
  <c r="P7" i="2"/>
  <c r="P71" i="2"/>
  <c r="P135" i="2"/>
  <c r="P199" i="2"/>
  <c r="P64" i="2"/>
  <c r="P128" i="2"/>
  <c r="P192" i="2"/>
  <c r="P57" i="2"/>
  <c r="P121" i="2"/>
  <c r="P185" i="2"/>
  <c r="P50" i="2"/>
  <c r="P114" i="2"/>
  <c r="P178" i="2"/>
  <c r="P43" i="2"/>
  <c r="P107" i="2"/>
  <c r="P171" i="2"/>
  <c r="P36" i="2"/>
  <c r="P100" i="2"/>
  <c r="P164" i="2"/>
  <c r="P29" i="2"/>
  <c r="P93" i="2"/>
  <c r="P165" i="2"/>
  <c r="P118" i="2"/>
  <c r="P15" i="2"/>
  <c r="P79" i="2"/>
  <c r="P143" i="2"/>
  <c r="P8" i="2"/>
  <c r="P72" i="2"/>
  <c r="P136" i="2"/>
  <c r="P200" i="2"/>
  <c r="P65" i="2"/>
  <c r="P129" i="2"/>
  <c r="P193" i="2"/>
  <c r="P58" i="2"/>
  <c r="P122" i="2"/>
  <c r="P186" i="2"/>
  <c r="P51" i="2"/>
  <c r="P115" i="2"/>
  <c r="P179" i="2"/>
  <c r="P44" i="2"/>
  <c r="P108" i="2"/>
  <c r="P172" i="2"/>
  <c r="P37" i="2"/>
  <c r="P101" i="2"/>
  <c r="P173" i="2"/>
  <c r="P52" i="2"/>
  <c r="P116" i="2"/>
  <c r="P180" i="2"/>
  <c r="P45" i="2"/>
  <c r="P109" i="2"/>
  <c r="P181" i="2"/>
  <c r="P86" i="2"/>
  <c r="P102" i="2"/>
  <c r="P31" i="2"/>
  <c r="P95" i="2"/>
  <c r="P159" i="2"/>
  <c r="P24" i="2"/>
  <c r="P88" i="2"/>
  <c r="P152" i="2"/>
  <c r="P17" i="2"/>
  <c r="P81" i="2"/>
  <c r="P145" i="2"/>
  <c r="P10" i="2"/>
  <c r="P74" i="2"/>
  <c r="P138" i="2"/>
  <c r="P202" i="2"/>
  <c r="P67" i="2"/>
  <c r="P131" i="2"/>
  <c r="P195" i="2"/>
  <c r="P60" i="2"/>
  <c r="P124" i="2"/>
  <c r="P188" i="2"/>
  <c r="P53" i="2"/>
  <c r="P189" i="2"/>
  <c r="Q3" i="2" a="1"/>
  <c r="Q3" i="2" l="1"/>
  <c r="Q198" i="2"/>
  <c r="Q190" i="2"/>
  <c r="Q182" i="2"/>
  <c r="Q174" i="2"/>
  <c r="Q166" i="2"/>
  <c r="Q158" i="2"/>
  <c r="Q150" i="2"/>
  <c r="Q142" i="2"/>
  <c r="Q134" i="2"/>
  <c r="Q126" i="2"/>
  <c r="Q118" i="2"/>
  <c r="Q110" i="2"/>
  <c r="Q102" i="2"/>
  <c r="Q94" i="2"/>
  <c r="Q86" i="2"/>
  <c r="Q78" i="2"/>
  <c r="Q70" i="2"/>
  <c r="Q62" i="2"/>
  <c r="Q54" i="2"/>
  <c r="Q46" i="2"/>
  <c r="Q38" i="2"/>
  <c r="Q30" i="2"/>
  <c r="Q22" i="2"/>
  <c r="Q14" i="2"/>
  <c r="Q6" i="2"/>
  <c r="Q197" i="2"/>
  <c r="Q189" i="2"/>
  <c r="Q181" i="2"/>
  <c r="Q173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5" i="2"/>
  <c r="Q196" i="2"/>
  <c r="Q188" i="2"/>
  <c r="Q180" i="2"/>
  <c r="Q172" i="2"/>
  <c r="Q164" i="2"/>
  <c r="Q156" i="2"/>
  <c r="Q148" i="2"/>
  <c r="Q140" i="2"/>
  <c r="Q132" i="2"/>
  <c r="Q124" i="2"/>
  <c r="Q116" i="2"/>
  <c r="Q108" i="2"/>
  <c r="Q100" i="2"/>
  <c r="Q92" i="2"/>
  <c r="Q84" i="2"/>
  <c r="Q76" i="2"/>
  <c r="Q68" i="2"/>
  <c r="Q60" i="2"/>
  <c r="Q52" i="2"/>
  <c r="Q44" i="2"/>
  <c r="Q36" i="2"/>
  <c r="Q28" i="2"/>
  <c r="Q20" i="2"/>
  <c r="Q12" i="2"/>
  <c r="Q4" i="2"/>
  <c r="Q195" i="2"/>
  <c r="Q187" i="2"/>
  <c r="Q179" i="2"/>
  <c r="Q171" i="2"/>
  <c r="Q163" i="2"/>
  <c r="Q155" i="2"/>
  <c r="Q147" i="2"/>
  <c r="Q139" i="2"/>
  <c r="Q131" i="2"/>
  <c r="Q123" i="2"/>
  <c r="Q115" i="2"/>
  <c r="Q107" i="2"/>
  <c r="Q99" i="2"/>
  <c r="Q91" i="2"/>
  <c r="Q83" i="2"/>
  <c r="Q75" i="2"/>
  <c r="Q67" i="2"/>
  <c r="Q59" i="2"/>
  <c r="Q51" i="2"/>
  <c r="Q43" i="2"/>
  <c r="Q35" i="2"/>
  <c r="Q27" i="2"/>
  <c r="Q19" i="2"/>
  <c r="Q11" i="2"/>
  <c r="Q202" i="2"/>
  <c r="Q194" i="2"/>
  <c r="Q186" i="2"/>
  <c r="Q178" i="2"/>
  <c r="Q170" i="2"/>
  <c r="Q162" i="2"/>
  <c r="Q154" i="2"/>
  <c r="Q146" i="2"/>
  <c r="Q138" i="2"/>
  <c r="Q130" i="2"/>
  <c r="Q122" i="2"/>
  <c r="Q114" i="2"/>
  <c r="Q106" i="2"/>
  <c r="Q98" i="2"/>
  <c r="Q90" i="2"/>
  <c r="Q82" i="2"/>
  <c r="Q74" i="2"/>
  <c r="Q66" i="2"/>
  <c r="Q58" i="2"/>
  <c r="Q50" i="2"/>
  <c r="Q42" i="2"/>
  <c r="Q34" i="2"/>
  <c r="Q26" i="2"/>
  <c r="Q18" i="2"/>
  <c r="Q10" i="2"/>
  <c r="Q201" i="2"/>
  <c r="Q193" i="2"/>
  <c r="Q185" i="2"/>
  <c r="Q177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41" i="2"/>
  <c r="Q33" i="2"/>
  <c r="Q25" i="2"/>
  <c r="Q17" i="2"/>
  <c r="Q9" i="2"/>
  <c r="Q200" i="2"/>
  <c r="Q192" i="2"/>
  <c r="Q184" i="2"/>
  <c r="Q176" i="2"/>
  <c r="Q168" i="2"/>
  <c r="Q160" i="2"/>
  <c r="Q152" i="2"/>
  <c r="Q144" i="2"/>
  <c r="Q136" i="2"/>
  <c r="Q128" i="2"/>
  <c r="Q120" i="2"/>
  <c r="Q112" i="2"/>
  <c r="Q104" i="2"/>
  <c r="Q96" i="2"/>
  <c r="Q88" i="2"/>
  <c r="Q80" i="2"/>
  <c r="Q72" i="2"/>
  <c r="Q64" i="2"/>
  <c r="Q56" i="2"/>
  <c r="Q48" i="2"/>
  <c r="Q40" i="2"/>
  <c r="Q32" i="2"/>
  <c r="Q24" i="2"/>
  <c r="Q16" i="2"/>
  <c r="Q8" i="2"/>
  <c r="Q167" i="2"/>
  <c r="Q103" i="2"/>
  <c r="Q39" i="2"/>
  <c r="Q159" i="2"/>
  <c r="Q95" i="2"/>
  <c r="Q31" i="2"/>
  <c r="Q175" i="2"/>
  <c r="Q111" i="2"/>
  <c r="Q47" i="2"/>
  <c r="Q151" i="2"/>
  <c r="Q87" i="2"/>
  <c r="Q23" i="2"/>
  <c r="Q143" i="2"/>
  <c r="Q79" i="2"/>
  <c r="Q15" i="2"/>
  <c r="Q199" i="2"/>
  <c r="Q135" i="2"/>
  <c r="Q71" i="2"/>
  <c r="Q7" i="2"/>
  <c r="Q191" i="2"/>
  <c r="Q127" i="2"/>
  <c r="Q63" i="2"/>
  <c r="Q183" i="2"/>
  <c r="Q119" i="2"/>
  <c r="Q55" i="2"/>
  <c r="R3" i="2" l="1" a="1"/>
  <c r="R3" i="2" l="1"/>
  <c r="R199" i="2"/>
  <c r="R191" i="2"/>
  <c r="R183" i="2"/>
  <c r="R175" i="2"/>
  <c r="R167" i="2"/>
  <c r="R159" i="2"/>
  <c r="R151" i="2"/>
  <c r="R143" i="2"/>
  <c r="R135" i="2"/>
  <c r="R127" i="2"/>
  <c r="R119" i="2"/>
  <c r="R111" i="2"/>
  <c r="R103" i="2"/>
  <c r="R95" i="2"/>
  <c r="R87" i="2"/>
  <c r="R79" i="2"/>
  <c r="R71" i="2"/>
  <c r="R63" i="2"/>
  <c r="R55" i="2"/>
  <c r="R47" i="2"/>
  <c r="R39" i="2"/>
  <c r="R31" i="2"/>
  <c r="R23" i="2"/>
  <c r="R15" i="2"/>
  <c r="R7" i="2"/>
  <c r="R198" i="2"/>
  <c r="R190" i="2"/>
  <c r="R182" i="2"/>
  <c r="R174" i="2"/>
  <c r="R166" i="2"/>
  <c r="R158" i="2"/>
  <c r="R150" i="2"/>
  <c r="R142" i="2"/>
  <c r="R134" i="2"/>
  <c r="R126" i="2"/>
  <c r="R118" i="2"/>
  <c r="R110" i="2"/>
  <c r="R102" i="2"/>
  <c r="R94" i="2"/>
  <c r="R86" i="2"/>
  <c r="R78" i="2"/>
  <c r="R70" i="2"/>
  <c r="R62" i="2"/>
  <c r="R54" i="2"/>
  <c r="R46" i="2"/>
  <c r="R38" i="2"/>
  <c r="R30" i="2"/>
  <c r="R22" i="2"/>
  <c r="R14" i="2"/>
  <c r="R6" i="2"/>
  <c r="R197" i="2"/>
  <c r="R189" i="2"/>
  <c r="R181" i="2"/>
  <c r="R173" i="2"/>
  <c r="R165" i="2"/>
  <c r="R157" i="2"/>
  <c r="R149" i="2"/>
  <c r="R141" i="2"/>
  <c r="R133" i="2"/>
  <c r="R125" i="2"/>
  <c r="R117" i="2"/>
  <c r="R109" i="2"/>
  <c r="R101" i="2"/>
  <c r="R93" i="2"/>
  <c r="R85" i="2"/>
  <c r="R77" i="2"/>
  <c r="R69" i="2"/>
  <c r="R61" i="2"/>
  <c r="R53" i="2"/>
  <c r="R45" i="2"/>
  <c r="R37" i="2"/>
  <c r="R29" i="2"/>
  <c r="R21" i="2"/>
  <c r="R13" i="2"/>
  <c r="R5" i="2"/>
  <c r="R196" i="2"/>
  <c r="R188" i="2"/>
  <c r="R180" i="2"/>
  <c r="R172" i="2"/>
  <c r="R164" i="2"/>
  <c r="R156" i="2"/>
  <c r="R148" i="2"/>
  <c r="R140" i="2"/>
  <c r="R132" i="2"/>
  <c r="R124" i="2"/>
  <c r="R116" i="2"/>
  <c r="R108" i="2"/>
  <c r="R100" i="2"/>
  <c r="R92" i="2"/>
  <c r="R84" i="2"/>
  <c r="R76" i="2"/>
  <c r="R68" i="2"/>
  <c r="R60" i="2"/>
  <c r="R52" i="2"/>
  <c r="R44" i="2"/>
  <c r="R36" i="2"/>
  <c r="R28" i="2"/>
  <c r="R20" i="2"/>
  <c r="R12" i="2"/>
  <c r="R4" i="2"/>
  <c r="R195" i="2"/>
  <c r="R187" i="2"/>
  <c r="R179" i="2"/>
  <c r="R171" i="2"/>
  <c r="R163" i="2"/>
  <c r="R155" i="2"/>
  <c r="R147" i="2"/>
  <c r="R139" i="2"/>
  <c r="R131" i="2"/>
  <c r="R123" i="2"/>
  <c r="R115" i="2"/>
  <c r="R107" i="2"/>
  <c r="R99" i="2"/>
  <c r="R91" i="2"/>
  <c r="R83" i="2"/>
  <c r="R75" i="2"/>
  <c r="R67" i="2"/>
  <c r="R59" i="2"/>
  <c r="R51" i="2"/>
  <c r="R43" i="2"/>
  <c r="R35" i="2"/>
  <c r="R27" i="2"/>
  <c r="R19" i="2"/>
  <c r="R11" i="2"/>
  <c r="R202" i="2"/>
  <c r="R194" i="2"/>
  <c r="R186" i="2"/>
  <c r="R178" i="2"/>
  <c r="R170" i="2"/>
  <c r="R162" i="2"/>
  <c r="R154" i="2"/>
  <c r="R146" i="2"/>
  <c r="R138" i="2"/>
  <c r="R130" i="2"/>
  <c r="R122" i="2"/>
  <c r="R114" i="2"/>
  <c r="R106" i="2"/>
  <c r="R98" i="2"/>
  <c r="R90" i="2"/>
  <c r="R82" i="2"/>
  <c r="R74" i="2"/>
  <c r="R66" i="2"/>
  <c r="R58" i="2"/>
  <c r="R50" i="2"/>
  <c r="R42" i="2"/>
  <c r="R34" i="2"/>
  <c r="R26" i="2"/>
  <c r="R18" i="2"/>
  <c r="R10" i="2"/>
  <c r="R201" i="2"/>
  <c r="R193" i="2"/>
  <c r="R185" i="2"/>
  <c r="R177" i="2"/>
  <c r="R169" i="2"/>
  <c r="R161" i="2"/>
  <c r="R153" i="2"/>
  <c r="R145" i="2"/>
  <c r="R137" i="2"/>
  <c r="R129" i="2"/>
  <c r="R121" i="2"/>
  <c r="R113" i="2"/>
  <c r="R105" i="2"/>
  <c r="R97" i="2"/>
  <c r="R89" i="2"/>
  <c r="R81" i="2"/>
  <c r="R73" i="2"/>
  <c r="R65" i="2"/>
  <c r="R57" i="2"/>
  <c r="R49" i="2"/>
  <c r="R41" i="2"/>
  <c r="R33" i="2"/>
  <c r="R25" i="2"/>
  <c r="R17" i="2"/>
  <c r="R9" i="2"/>
  <c r="R160" i="2"/>
  <c r="R96" i="2"/>
  <c r="R32" i="2"/>
  <c r="R168" i="2"/>
  <c r="R152" i="2"/>
  <c r="R88" i="2"/>
  <c r="R24" i="2"/>
  <c r="R104" i="2"/>
  <c r="R40" i="2"/>
  <c r="R144" i="2"/>
  <c r="R80" i="2"/>
  <c r="R16" i="2"/>
  <c r="R200" i="2"/>
  <c r="R136" i="2"/>
  <c r="R72" i="2"/>
  <c r="R8" i="2"/>
  <c r="R192" i="2"/>
  <c r="R128" i="2"/>
  <c r="R64" i="2"/>
  <c r="R184" i="2"/>
  <c r="R120" i="2"/>
  <c r="R56" i="2"/>
  <c r="R176" i="2"/>
  <c r="R112" i="2"/>
  <c r="R48" i="2"/>
  <c r="S3" i="2" l="1" a="1"/>
  <c r="D3" i="2" a="1"/>
  <c r="S3" i="2" l="1"/>
  <c r="U3" i="2" s="1" a="1"/>
  <c r="T200" i="2"/>
  <c r="T196" i="2"/>
  <c r="T192" i="2"/>
  <c r="T188" i="2"/>
  <c r="T184" i="2"/>
  <c r="T180" i="2"/>
  <c r="T176" i="2"/>
  <c r="T172" i="2"/>
  <c r="T168" i="2"/>
  <c r="T164" i="2"/>
  <c r="T160" i="2"/>
  <c r="T156" i="2"/>
  <c r="T152" i="2"/>
  <c r="T148" i="2"/>
  <c r="T144" i="2"/>
  <c r="T140" i="2"/>
  <c r="T136" i="2"/>
  <c r="T132" i="2"/>
  <c r="T128" i="2"/>
  <c r="T124" i="2"/>
  <c r="T120" i="2"/>
  <c r="T116" i="2"/>
  <c r="T112" i="2"/>
  <c r="T108" i="2"/>
  <c r="T104" i="2"/>
  <c r="T100" i="2"/>
  <c r="T96" i="2"/>
  <c r="T92" i="2"/>
  <c r="T88" i="2"/>
  <c r="T84" i="2"/>
  <c r="T80" i="2"/>
  <c r="T76" i="2"/>
  <c r="T72" i="2"/>
  <c r="T68" i="2"/>
  <c r="T64" i="2"/>
  <c r="T60" i="2"/>
  <c r="T56" i="2"/>
  <c r="T52" i="2"/>
  <c r="T48" i="2"/>
  <c r="T44" i="2"/>
  <c r="T40" i="2"/>
  <c r="T36" i="2"/>
  <c r="T32" i="2"/>
  <c r="T28" i="2"/>
  <c r="T24" i="2"/>
  <c r="T20" i="2"/>
  <c r="T16" i="2"/>
  <c r="T12" i="2"/>
  <c r="S200" i="2"/>
  <c r="S196" i="2"/>
  <c r="S192" i="2"/>
  <c r="S188" i="2"/>
  <c r="S184" i="2"/>
  <c r="S180" i="2"/>
  <c r="S176" i="2"/>
  <c r="S17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T199" i="2"/>
  <c r="T195" i="2"/>
  <c r="T191" i="2"/>
  <c r="T187" i="2"/>
  <c r="T183" i="2"/>
  <c r="T179" i="2"/>
  <c r="T175" i="2"/>
  <c r="T171" i="2"/>
  <c r="T167" i="2"/>
  <c r="T163" i="2"/>
  <c r="T159" i="2"/>
  <c r="T155" i="2"/>
  <c r="T151" i="2"/>
  <c r="T147" i="2"/>
  <c r="T143" i="2"/>
  <c r="T139" i="2"/>
  <c r="T135" i="2"/>
  <c r="T131" i="2"/>
  <c r="T127" i="2"/>
  <c r="T123" i="2"/>
  <c r="T119" i="2"/>
  <c r="T115" i="2"/>
  <c r="T111" i="2"/>
  <c r="T107" i="2"/>
  <c r="T103" i="2"/>
  <c r="T99" i="2"/>
  <c r="T95" i="2"/>
  <c r="T91" i="2"/>
  <c r="T87" i="2"/>
  <c r="T83" i="2"/>
  <c r="T79" i="2"/>
  <c r="T75" i="2"/>
  <c r="T71" i="2"/>
  <c r="T67" i="2"/>
  <c r="T63" i="2"/>
  <c r="T59" i="2"/>
  <c r="T55" i="2"/>
  <c r="T51" i="2"/>
  <c r="T47" i="2"/>
  <c r="T43" i="2"/>
  <c r="T39" i="2"/>
  <c r="T35" i="2"/>
  <c r="T31" i="2"/>
  <c r="T27" i="2"/>
  <c r="T23" i="2"/>
  <c r="T19" i="2"/>
  <c r="T15" i="2"/>
  <c r="T11" i="2"/>
  <c r="S199" i="2"/>
  <c r="S195" i="2"/>
  <c r="S191" i="2"/>
  <c r="S187" i="2"/>
  <c r="S183" i="2"/>
  <c r="S179" i="2"/>
  <c r="S175" i="2"/>
  <c r="S171" i="2"/>
  <c r="S167" i="2"/>
  <c r="S163" i="2"/>
  <c r="S159" i="2"/>
  <c r="S155" i="2"/>
  <c r="S151" i="2"/>
  <c r="S147" i="2"/>
  <c r="S143" i="2"/>
  <c r="S139" i="2"/>
  <c r="S135" i="2"/>
  <c r="S131" i="2"/>
  <c r="S127" i="2"/>
  <c r="S123" i="2"/>
  <c r="S119" i="2"/>
  <c r="S115" i="2"/>
  <c r="S111" i="2"/>
  <c r="S107" i="2"/>
  <c r="S103" i="2"/>
  <c r="S99" i="2"/>
  <c r="S95" i="2"/>
  <c r="S91" i="2"/>
  <c r="S87" i="2"/>
  <c r="S83" i="2"/>
  <c r="S79" i="2"/>
  <c r="S75" i="2"/>
  <c r="S71" i="2"/>
  <c r="S67" i="2"/>
  <c r="S63" i="2"/>
  <c r="S59" i="2"/>
  <c r="S55" i="2"/>
  <c r="S51" i="2"/>
  <c r="S47" i="2"/>
  <c r="S43" i="2"/>
  <c r="S39" i="2"/>
  <c r="S35" i="2"/>
  <c r="S31" i="2"/>
  <c r="S27" i="2"/>
  <c r="S23" i="2"/>
  <c r="S19" i="2"/>
  <c r="S15" i="2"/>
  <c r="S11" i="2"/>
  <c r="T202" i="2"/>
  <c r="T198" i="2"/>
  <c r="T194" i="2"/>
  <c r="T190" i="2"/>
  <c r="T186" i="2"/>
  <c r="T182" i="2"/>
  <c r="T178" i="2"/>
  <c r="T174" i="2"/>
  <c r="T170" i="2"/>
  <c r="T166" i="2"/>
  <c r="T162" i="2"/>
  <c r="T158" i="2"/>
  <c r="T154" i="2"/>
  <c r="T150" i="2"/>
  <c r="T146" i="2"/>
  <c r="T142" i="2"/>
  <c r="T138" i="2"/>
  <c r="T134" i="2"/>
  <c r="T130" i="2"/>
  <c r="T126" i="2"/>
  <c r="T122" i="2"/>
  <c r="T118" i="2"/>
  <c r="T114" i="2"/>
  <c r="T110" i="2"/>
  <c r="T106" i="2"/>
  <c r="T102" i="2"/>
  <c r="T98" i="2"/>
  <c r="T94" i="2"/>
  <c r="T90" i="2"/>
  <c r="T86" i="2"/>
  <c r="T82" i="2"/>
  <c r="T78" i="2"/>
  <c r="T74" i="2"/>
  <c r="T70" i="2"/>
  <c r="T66" i="2"/>
  <c r="T62" i="2"/>
  <c r="T58" i="2"/>
  <c r="T54" i="2"/>
  <c r="T50" i="2"/>
  <c r="T46" i="2"/>
  <c r="T42" i="2"/>
  <c r="T38" i="2"/>
  <c r="T34" i="2"/>
  <c r="T30" i="2"/>
  <c r="T26" i="2"/>
  <c r="T22" i="2"/>
  <c r="T18" i="2"/>
  <c r="T14" i="2"/>
  <c r="S202" i="2"/>
  <c r="S198" i="2"/>
  <c r="S194" i="2"/>
  <c r="S190" i="2"/>
  <c r="S186" i="2"/>
  <c r="S182" i="2"/>
  <c r="S178" i="2"/>
  <c r="S174" i="2"/>
  <c r="S170" i="2"/>
  <c r="S166" i="2"/>
  <c r="S162" i="2"/>
  <c r="S158" i="2"/>
  <c r="S154" i="2"/>
  <c r="S150" i="2"/>
  <c r="S146" i="2"/>
  <c r="S142" i="2"/>
  <c r="S138" i="2"/>
  <c r="S134" i="2"/>
  <c r="S130" i="2"/>
  <c r="S126" i="2"/>
  <c r="S122" i="2"/>
  <c r="S118" i="2"/>
  <c r="S114" i="2"/>
  <c r="S110" i="2"/>
  <c r="S106" i="2"/>
  <c r="S102" i="2"/>
  <c r="S98" i="2"/>
  <c r="S94" i="2"/>
  <c r="S90" i="2"/>
  <c r="S86" i="2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S22" i="2"/>
  <c r="S18" i="2"/>
  <c r="S14" i="2"/>
  <c r="T201" i="2"/>
  <c r="T197" i="2"/>
  <c r="T193" i="2"/>
  <c r="T189" i="2"/>
  <c r="T185" i="2"/>
  <c r="T181" i="2"/>
  <c r="T177" i="2"/>
  <c r="T173" i="2"/>
  <c r="T169" i="2"/>
  <c r="T165" i="2"/>
  <c r="T161" i="2"/>
  <c r="T157" i="2"/>
  <c r="T153" i="2"/>
  <c r="T149" i="2"/>
  <c r="T145" i="2"/>
  <c r="T141" i="2"/>
  <c r="T137" i="2"/>
  <c r="T133" i="2"/>
  <c r="T129" i="2"/>
  <c r="T125" i="2"/>
  <c r="T121" i="2"/>
  <c r="T117" i="2"/>
  <c r="T113" i="2"/>
  <c r="T109" i="2"/>
  <c r="T105" i="2"/>
  <c r="T101" i="2"/>
  <c r="T97" i="2"/>
  <c r="T93" i="2"/>
  <c r="T89" i="2"/>
  <c r="T85" i="2"/>
  <c r="T81" i="2"/>
  <c r="T77" i="2"/>
  <c r="T73" i="2"/>
  <c r="T69" i="2"/>
  <c r="T65" i="2"/>
  <c r="T61" i="2"/>
  <c r="T57" i="2"/>
  <c r="T53" i="2"/>
  <c r="T49" i="2"/>
  <c r="T45" i="2"/>
  <c r="T41" i="2"/>
  <c r="T37" i="2"/>
  <c r="T33" i="2"/>
  <c r="T29" i="2"/>
  <c r="T25" i="2"/>
  <c r="T21" i="2"/>
  <c r="T17" i="2"/>
  <c r="T13" i="2"/>
  <c r="S193" i="2"/>
  <c r="S161" i="2"/>
  <c r="S129" i="2"/>
  <c r="S97" i="2"/>
  <c r="S65" i="2"/>
  <c r="S33" i="2"/>
  <c r="T9" i="2"/>
  <c r="T5" i="2"/>
  <c r="S189" i="2"/>
  <c r="S157" i="2"/>
  <c r="S125" i="2"/>
  <c r="S93" i="2"/>
  <c r="S61" i="2"/>
  <c r="S29" i="2"/>
  <c r="S9" i="2"/>
  <c r="S5" i="2"/>
  <c r="S185" i="2"/>
  <c r="S153" i="2"/>
  <c r="S121" i="2"/>
  <c r="S89" i="2"/>
  <c r="S57" i="2"/>
  <c r="S25" i="2"/>
  <c r="T8" i="2"/>
  <c r="T4" i="2"/>
  <c r="S181" i="2"/>
  <c r="S149" i="2"/>
  <c r="S117" i="2"/>
  <c r="S85" i="2"/>
  <c r="S53" i="2"/>
  <c r="S21" i="2"/>
  <c r="S8" i="2"/>
  <c r="S4" i="2"/>
  <c r="S177" i="2"/>
  <c r="S145" i="2"/>
  <c r="S113" i="2"/>
  <c r="S81" i="2"/>
  <c r="S49" i="2"/>
  <c r="S17" i="2"/>
  <c r="T7" i="2"/>
  <c r="T3" i="2"/>
  <c r="S173" i="2"/>
  <c r="S141" i="2"/>
  <c r="S109" i="2"/>
  <c r="S77" i="2"/>
  <c r="S45" i="2"/>
  <c r="S13" i="2"/>
  <c r="S7" i="2"/>
  <c r="S201" i="2"/>
  <c r="S169" i="2"/>
  <c r="S137" i="2"/>
  <c r="S105" i="2"/>
  <c r="S73" i="2"/>
  <c r="S41" i="2"/>
  <c r="T10" i="2"/>
  <c r="T6" i="2"/>
  <c r="S37" i="2"/>
  <c r="S10" i="2"/>
  <c r="S6" i="2"/>
  <c r="S69" i="2"/>
  <c r="S197" i="2"/>
  <c r="S165" i="2"/>
  <c r="S133" i="2"/>
  <c r="S101" i="2"/>
  <c r="D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9" i="2"/>
  <c r="D11" i="2"/>
  <c r="D180" i="2"/>
  <c r="D124" i="2"/>
  <c r="D68" i="2"/>
  <c r="D12" i="2"/>
  <c r="D202" i="2"/>
  <c r="D194" i="2"/>
  <c r="D186" i="2"/>
  <c r="D178" i="2"/>
  <c r="D170" i="2"/>
  <c r="D162" i="2"/>
  <c r="D154" i="2"/>
  <c r="D146" i="2"/>
  <c r="D138" i="2"/>
  <c r="D130" i="2"/>
  <c r="D122" i="2"/>
  <c r="D114" i="2"/>
  <c r="D106" i="2"/>
  <c r="D98" i="2"/>
  <c r="D90" i="2"/>
  <c r="D82" i="2"/>
  <c r="D74" i="2"/>
  <c r="D66" i="2"/>
  <c r="D58" i="2"/>
  <c r="D50" i="2"/>
  <c r="D42" i="2"/>
  <c r="D34" i="2"/>
  <c r="D26" i="2"/>
  <c r="D18" i="2"/>
  <c r="D10" i="2"/>
  <c r="D172" i="2"/>
  <c r="D132" i="2"/>
  <c r="D100" i="2"/>
  <c r="D76" i="2"/>
  <c r="D52" i="2"/>
  <c r="D20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7" i="2"/>
  <c r="D9" i="2"/>
  <c r="D164" i="2"/>
  <c r="D2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6" i="2"/>
  <c r="D8" i="2"/>
  <c r="D156" i="2"/>
  <c r="D116" i="2"/>
  <c r="D60" i="2"/>
  <c r="D4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188" i="2"/>
  <c r="D140" i="2"/>
  <c r="D108" i="2"/>
  <c r="D84" i="2"/>
  <c r="D44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196" i="2"/>
  <c r="D92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9" i="2"/>
  <c r="D21" i="2"/>
  <c r="D13" i="2"/>
  <c r="D5" i="2"/>
  <c r="D148" i="2"/>
  <c r="D36" i="2"/>
  <c r="U3" i="2" l="1"/>
  <c r="U201" i="2"/>
  <c r="U197" i="2"/>
  <c r="U193" i="2"/>
  <c r="U189" i="2"/>
  <c r="U185" i="2"/>
  <c r="U181" i="2"/>
  <c r="U177" i="2"/>
  <c r="U173" i="2"/>
  <c r="U169" i="2"/>
  <c r="U165" i="2"/>
  <c r="U161" i="2"/>
  <c r="U157" i="2"/>
  <c r="U153" i="2"/>
  <c r="U149" i="2"/>
  <c r="U145" i="2"/>
  <c r="U141" i="2"/>
  <c r="U137" i="2"/>
  <c r="U133" i="2"/>
  <c r="U129" i="2"/>
  <c r="U125" i="2"/>
  <c r="U121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V200" i="2"/>
  <c r="V196" i="2"/>
  <c r="V192" i="2"/>
  <c r="V188" i="2"/>
  <c r="V184" i="2"/>
  <c r="V180" i="2"/>
  <c r="V176" i="2"/>
  <c r="V172" i="2"/>
  <c r="V168" i="2"/>
  <c r="V164" i="2"/>
  <c r="V160" i="2"/>
  <c r="V156" i="2"/>
  <c r="V152" i="2"/>
  <c r="V148" i="2"/>
  <c r="V144" i="2"/>
  <c r="V140" i="2"/>
  <c r="V136" i="2"/>
  <c r="V132" i="2"/>
  <c r="V128" i="2"/>
  <c r="V124" i="2"/>
  <c r="V120" i="2"/>
  <c r="V116" i="2"/>
  <c r="V112" i="2"/>
  <c r="V108" i="2"/>
  <c r="V104" i="2"/>
  <c r="V100" i="2"/>
  <c r="V96" i="2"/>
  <c r="V92" i="2"/>
  <c r="V88" i="2"/>
  <c r="V84" i="2"/>
  <c r="V80" i="2"/>
  <c r="V76" i="2"/>
  <c r="V72" i="2"/>
  <c r="V68" i="2"/>
  <c r="V64" i="2"/>
  <c r="V60" i="2"/>
  <c r="V56" i="2"/>
  <c r="V52" i="2"/>
  <c r="V48" i="2"/>
  <c r="V44" i="2"/>
  <c r="V40" i="2"/>
  <c r="V36" i="2"/>
  <c r="V32" i="2"/>
  <c r="V28" i="2"/>
  <c r="V24" i="2"/>
  <c r="V20" i="2"/>
  <c r="V16" i="2"/>
  <c r="V12" i="2"/>
  <c r="V8" i="2"/>
  <c r="V4" i="2"/>
  <c r="U200" i="2"/>
  <c r="U196" i="2"/>
  <c r="U192" i="2"/>
  <c r="U188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136" i="2"/>
  <c r="U132" i="2"/>
  <c r="U128" i="2"/>
  <c r="U124" i="2"/>
  <c r="U120" i="2"/>
  <c r="U116" i="2"/>
  <c r="U112" i="2"/>
  <c r="U108" i="2"/>
  <c r="U104" i="2"/>
  <c r="U100" i="2"/>
  <c r="U96" i="2"/>
  <c r="U92" i="2"/>
  <c r="U88" i="2"/>
  <c r="U84" i="2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U4" i="2"/>
  <c r="V199" i="2"/>
  <c r="V195" i="2"/>
  <c r="V191" i="2"/>
  <c r="V187" i="2"/>
  <c r="V183" i="2"/>
  <c r="V179" i="2"/>
  <c r="V175" i="2"/>
  <c r="V171" i="2"/>
  <c r="V167" i="2"/>
  <c r="V163" i="2"/>
  <c r="V159" i="2"/>
  <c r="V155" i="2"/>
  <c r="V151" i="2"/>
  <c r="V147" i="2"/>
  <c r="V143" i="2"/>
  <c r="V139" i="2"/>
  <c r="V135" i="2"/>
  <c r="V131" i="2"/>
  <c r="V127" i="2"/>
  <c r="V123" i="2"/>
  <c r="V119" i="2"/>
  <c r="V115" i="2"/>
  <c r="V111" i="2"/>
  <c r="V107" i="2"/>
  <c r="V103" i="2"/>
  <c r="V99" i="2"/>
  <c r="V95" i="2"/>
  <c r="V91" i="2"/>
  <c r="V87" i="2"/>
  <c r="V83" i="2"/>
  <c r="V79" i="2"/>
  <c r="V75" i="2"/>
  <c r="V71" i="2"/>
  <c r="V67" i="2"/>
  <c r="V63" i="2"/>
  <c r="V59" i="2"/>
  <c r="V55" i="2"/>
  <c r="V51" i="2"/>
  <c r="V47" i="2"/>
  <c r="V43" i="2"/>
  <c r="V39" i="2"/>
  <c r="V35" i="2"/>
  <c r="V31" i="2"/>
  <c r="V27" i="2"/>
  <c r="V23" i="2"/>
  <c r="V19" i="2"/>
  <c r="V15" i="2"/>
  <c r="V11" i="2"/>
  <c r="V7" i="2"/>
  <c r="V3" i="2"/>
  <c r="U199" i="2"/>
  <c r="U195" i="2"/>
  <c r="U191" i="2"/>
  <c r="U187" i="2"/>
  <c r="U183" i="2"/>
  <c r="U179" i="2"/>
  <c r="U175" i="2"/>
  <c r="U171" i="2"/>
  <c r="U167" i="2"/>
  <c r="U163" i="2"/>
  <c r="U159" i="2"/>
  <c r="U155" i="2"/>
  <c r="U151" i="2"/>
  <c r="U147" i="2"/>
  <c r="U143" i="2"/>
  <c r="U139" i="2"/>
  <c r="U135" i="2"/>
  <c r="U131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23" i="2"/>
  <c r="U19" i="2"/>
  <c r="U15" i="2"/>
  <c r="U11" i="2"/>
  <c r="U7" i="2"/>
  <c r="V202" i="2"/>
  <c r="V198" i="2"/>
  <c r="V194" i="2"/>
  <c r="V190" i="2"/>
  <c r="V186" i="2"/>
  <c r="V182" i="2"/>
  <c r="V178" i="2"/>
  <c r="V174" i="2"/>
  <c r="V170" i="2"/>
  <c r="V166" i="2"/>
  <c r="V162" i="2"/>
  <c r="V158" i="2"/>
  <c r="V154" i="2"/>
  <c r="V150" i="2"/>
  <c r="V146" i="2"/>
  <c r="V142" i="2"/>
  <c r="V138" i="2"/>
  <c r="V134" i="2"/>
  <c r="V130" i="2"/>
  <c r="V126" i="2"/>
  <c r="V122" i="2"/>
  <c r="V118" i="2"/>
  <c r="V114" i="2"/>
  <c r="V110" i="2"/>
  <c r="V106" i="2"/>
  <c r="V102" i="2"/>
  <c r="V98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26" i="2"/>
  <c r="V22" i="2"/>
  <c r="V18" i="2"/>
  <c r="V14" i="2"/>
  <c r="V10" i="2"/>
  <c r="V6" i="2"/>
  <c r="U202" i="2"/>
  <c r="U198" i="2"/>
  <c r="U194" i="2"/>
  <c r="U190" i="2"/>
  <c r="U186" i="2"/>
  <c r="U182" i="2"/>
  <c r="U178" i="2"/>
  <c r="U174" i="2"/>
  <c r="U170" i="2"/>
  <c r="U166" i="2"/>
  <c r="U162" i="2"/>
  <c r="U158" i="2"/>
  <c r="U154" i="2"/>
  <c r="U150" i="2"/>
  <c r="U146" i="2"/>
  <c r="U142" i="2"/>
  <c r="U138" i="2"/>
  <c r="U134" i="2"/>
  <c r="U130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U26" i="2"/>
  <c r="U22" i="2"/>
  <c r="U18" i="2"/>
  <c r="U14" i="2"/>
  <c r="U10" i="2"/>
  <c r="U6" i="2"/>
  <c r="V185" i="2"/>
  <c r="V153" i="2"/>
  <c r="V121" i="2"/>
  <c r="V89" i="2"/>
  <c r="V57" i="2"/>
  <c r="V25" i="2"/>
  <c r="V181" i="2"/>
  <c r="V149" i="2"/>
  <c r="V117" i="2"/>
  <c r="V85" i="2"/>
  <c r="V53" i="2"/>
  <c r="V21" i="2"/>
  <c r="V177" i="2"/>
  <c r="V145" i="2"/>
  <c r="V113" i="2"/>
  <c r="V81" i="2"/>
  <c r="V49" i="2"/>
  <c r="V17" i="2"/>
  <c r="V173" i="2"/>
  <c r="V141" i="2"/>
  <c r="V109" i="2"/>
  <c r="V77" i="2"/>
  <c r="V45" i="2"/>
  <c r="V13" i="2"/>
  <c r="V201" i="2"/>
  <c r="V169" i="2"/>
  <c r="V137" i="2"/>
  <c r="V105" i="2"/>
  <c r="V73" i="2"/>
  <c r="V41" i="2"/>
  <c r="V9" i="2"/>
  <c r="V197" i="2"/>
  <c r="V165" i="2"/>
  <c r="V133" i="2"/>
  <c r="V101" i="2"/>
  <c r="V69" i="2"/>
  <c r="V37" i="2"/>
  <c r="V5" i="2"/>
  <c r="V193" i="2"/>
  <c r="V161" i="2"/>
  <c r="V129" i="2"/>
  <c r="V97" i="2"/>
  <c r="V65" i="2"/>
  <c r="V33" i="2"/>
  <c r="V93" i="2"/>
  <c r="V61" i="2"/>
  <c r="V29" i="2"/>
  <c r="V125" i="2"/>
  <c r="V189" i="2"/>
  <c r="V157" i="2"/>
  <c r="W3" i="2" l="1" a="1"/>
  <c r="W3" i="2" l="1"/>
  <c r="W202" i="2"/>
  <c r="W198" i="2"/>
  <c r="W194" i="2"/>
  <c r="W190" i="2"/>
  <c r="W186" i="2"/>
  <c r="W182" i="2"/>
  <c r="W178" i="2"/>
  <c r="W174" i="2"/>
  <c r="W170" i="2"/>
  <c r="X201" i="2"/>
  <c r="W197" i="2"/>
  <c r="X192" i="2"/>
  <c r="W188" i="2"/>
  <c r="X183" i="2"/>
  <c r="W179" i="2"/>
  <c r="X174" i="2"/>
  <c r="X169" i="2"/>
  <c r="X165" i="2"/>
  <c r="X161" i="2"/>
  <c r="X157" i="2"/>
  <c r="X153" i="2"/>
  <c r="X149" i="2"/>
  <c r="X145" i="2"/>
  <c r="X141" i="2"/>
  <c r="X137" i="2"/>
  <c r="X133" i="2"/>
  <c r="X129" i="2"/>
  <c r="X125" i="2"/>
  <c r="X121" i="2"/>
  <c r="X117" i="2"/>
  <c r="X113" i="2"/>
  <c r="X109" i="2"/>
  <c r="X105" i="2"/>
  <c r="X101" i="2"/>
  <c r="X97" i="2"/>
  <c r="X93" i="2"/>
  <c r="X89" i="2"/>
  <c r="X85" i="2"/>
  <c r="X81" i="2"/>
  <c r="X77" i="2"/>
  <c r="X73" i="2"/>
  <c r="X69" i="2"/>
  <c r="X65" i="2"/>
  <c r="X61" i="2"/>
  <c r="X57" i="2"/>
  <c r="X53" i="2"/>
  <c r="X49" i="2"/>
  <c r="X45" i="2"/>
  <c r="X41" i="2"/>
  <c r="X37" i="2"/>
  <c r="X33" i="2"/>
  <c r="X29" i="2"/>
  <c r="X25" i="2"/>
  <c r="X21" i="2"/>
  <c r="X17" i="2"/>
  <c r="X13" i="2"/>
  <c r="X9" i="2"/>
  <c r="X5" i="2"/>
  <c r="W201" i="2"/>
  <c r="Y201" i="2" s="1" a="1"/>
  <c r="Y201" i="2" s="1"/>
  <c r="X196" i="2"/>
  <c r="W192" i="2"/>
  <c r="X187" i="2"/>
  <c r="W183" i="2"/>
  <c r="X178" i="2"/>
  <c r="X173" i="2"/>
  <c r="W169" i="2"/>
  <c r="W165" i="2"/>
  <c r="W161" i="2"/>
  <c r="W157" i="2"/>
  <c r="W153" i="2"/>
  <c r="W149" i="2"/>
  <c r="W145" i="2"/>
  <c r="W141" i="2"/>
  <c r="W137" i="2"/>
  <c r="W133" i="2"/>
  <c r="W129" i="2"/>
  <c r="W125" i="2"/>
  <c r="W121" i="2"/>
  <c r="W117" i="2"/>
  <c r="W113" i="2"/>
  <c r="W109" i="2"/>
  <c r="W105" i="2"/>
  <c r="W101" i="2"/>
  <c r="W97" i="2"/>
  <c r="W93" i="2"/>
  <c r="W89" i="2"/>
  <c r="W85" i="2"/>
  <c r="W81" i="2"/>
  <c r="W77" i="2"/>
  <c r="W73" i="2"/>
  <c r="W69" i="2"/>
  <c r="W65" i="2"/>
  <c r="W61" i="2"/>
  <c r="W57" i="2"/>
  <c r="W53" i="2"/>
  <c r="W49" i="2"/>
  <c r="W45" i="2"/>
  <c r="W41" i="2"/>
  <c r="W37" i="2"/>
  <c r="W33" i="2"/>
  <c r="W29" i="2"/>
  <c r="W25" i="2"/>
  <c r="W21" i="2"/>
  <c r="W17" i="2"/>
  <c r="W13" i="2"/>
  <c r="W9" i="2"/>
  <c r="W5" i="2"/>
  <c r="X200" i="2"/>
  <c r="W196" i="2"/>
  <c r="X191" i="2"/>
  <c r="W187" i="2"/>
  <c r="X182" i="2"/>
  <c r="X177" i="2"/>
  <c r="W173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X4" i="2"/>
  <c r="W200" i="2"/>
  <c r="X195" i="2"/>
  <c r="W191" i="2"/>
  <c r="X186" i="2"/>
  <c r="X181" i="2"/>
  <c r="W177" i="2"/>
  <c r="X172" i="2"/>
  <c r="W168" i="2"/>
  <c r="W164" i="2"/>
  <c r="W160" i="2"/>
  <c r="W156" i="2"/>
  <c r="W152" i="2"/>
  <c r="W148" i="2"/>
  <c r="W144" i="2"/>
  <c r="W140" i="2"/>
  <c r="W136" i="2"/>
  <c r="W132" i="2"/>
  <c r="W128" i="2"/>
  <c r="W124" i="2"/>
  <c r="W120" i="2"/>
  <c r="W116" i="2"/>
  <c r="W112" i="2"/>
  <c r="W108" i="2"/>
  <c r="W104" i="2"/>
  <c r="W100" i="2"/>
  <c r="W96" i="2"/>
  <c r="W92" i="2"/>
  <c r="W88" i="2"/>
  <c r="W84" i="2"/>
  <c r="W80" i="2"/>
  <c r="W76" i="2"/>
  <c r="W72" i="2"/>
  <c r="W68" i="2"/>
  <c r="W64" i="2"/>
  <c r="W60" i="2"/>
  <c r="W56" i="2"/>
  <c r="W52" i="2"/>
  <c r="W48" i="2"/>
  <c r="W44" i="2"/>
  <c r="W40" i="2"/>
  <c r="W36" i="2"/>
  <c r="W32" i="2"/>
  <c r="W28" i="2"/>
  <c r="W24" i="2"/>
  <c r="W20" i="2"/>
  <c r="W16" i="2"/>
  <c r="W12" i="2"/>
  <c r="W8" i="2"/>
  <c r="W4" i="2"/>
  <c r="X199" i="2"/>
  <c r="W195" i="2"/>
  <c r="X190" i="2"/>
  <c r="X185" i="2"/>
  <c r="W181" i="2"/>
  <c r="X176" i="2"/>
  <c r="W172" i="2"/>
  <c r="X167" i="2"/>
  <c r="X163" i="2"/>
  <c r="X159" i="2"/>
  <c r="X155" i="2"/>
  <c r="X151" i="2"/>
  <c r="X147" i="2"/>
  <c r="X143" i="2"/>
  <c r="X139" i="2"/>
  <c r="X135" i="2"/>
  <c r="X131" i="2"/>
  <c r="X127" i="2"/>
  <c r="X123" i="2"/>
  <c r="X119" i="2"/>
  <c r="X115" i="2"/>
  <c r="X111" i="2"/>
  <c r="X107" i="2"/>
  <c r="X103" i="2"/>
  <c r="X99" i="2"/>
  <c r="X95" i="2"/>
  <c r="X91" i="2"/>
  <c r="X87" i="2"/>
  <c r="X83" i="2"/>
  <c r="X79" i="2"/>
  <c r="X75" i="2"/>
  <c r="X71" i="2"/>
  <c r="X67" i="2"/>
  <c r="X63" i="2"/>
  <c r="X59" i="2"/>
  <c r="X55" i="2"/>
  <c r="X51" i="2"/>
  <c r="X47" i="2"/>
  <c r="X43" i="2"/>
  <c r="X39" i="2"/>
  <c r="X35" i="2"/>
  <c r="X31" i="2"/>
  <c r="X27" i="2"/>
  <c r="X23" i="2"/>
  <c r="X19" i="2"/>
  <c r="X15" i="2"/>
  <c r="X11" i="2"/>
  <c r="X7" i="2"/>
  <c r="X3" i="2"/>
  <c r="W199" i="2"/>
  <c r="X194" i="2"/>
  <c r="X189" i="2"/>
  <c r="W185" i="2"/>
  <c r="X180" i="2"/>
  <c r="W176" i="2"/>
  <c r="X171" i="2"/>
  <c r="W167" i="2"/>
  <c r="W163" i="2"/>
  <c r="W159" i="2"/>
  <c r="W155" i="2"/>
  <c r="W151" i="2"/>
  <c r="W147" i="2"/>
  <c r="W143" i="2"/>
  <c r="W139" i="2"/>
  <c r="W135" i="2"/>
  <c r="W131" i="2"/>
  <c r="W127" i="2"/>
  <c r="W123" i="2"/>
  <c r="W119" i="2"/>
  <c r="W115" i="2"/>
  <c r="W111" i="2"/>
  <c r="W107" i="2"/>
  <c r="W103" i="2"/>
  <c r="W99" i="2"/>
  <c r="W95" i="2"/>
  <c r="W91" i="2"/>
  <c r="W87" i="2"/>
  <c r="W83" i="2"/>
  <c r="W79" i="2"/>
  <c r="W75" i="2"/>
  <c r="W71" i="2"/>
  <c r="W67" i="2"/>
  <c r="W63" i="2"/>
  <c r="W59" i="2"/>
  <c r="W55" i="2"/>
  <c r="W51" i="2"/>
  <c r="W47" i="2"/>
  <c r="W43" i="2"/>
  <c r="W39" i="2"/>
  <c r="W35" i="2"/>
  <c r="W31" i="2"/>
  <c r="W27" i="2"/>
  <c r="W23" i="2"/>
  <c r="W19" i="2"/>
  <c r="W15" i="2"/>
  <c r="W11" i="2"/>
  <c r="W7" i="2"/>
  <c r="X198" i="2"/>
  <c r="X193" i="2"/>
  <c r="W189" i="2"/>
  <c r="X184" i="2"/>
  <c r="W180" i="2"/>
  <c r="X175" i="2"/>
  <c r="W171" i="2"/>
  <c r="X166" i="2"/>
  <c r="X162" i="2"/>
  <c r="X158" i="2"/>
  <c r="X154" i="2"/>
  <c r="X150" i="2"/>
  <c r="X146" i="2"/>
  <c r="X142" i="2"/>
  <c r="X138" i="2"/>
  <c r="X134" i="2"/>
  <c r="X130" i="2"/>
  <c r="X126" i="2"/>
  <c r="X122" i="2"/>
  <c r="X118" i="2"/>
  <c r="X114" i="2"/>
  <c r="X110" i="2"/>
  <c r="X106" i="2"/>
  <c r="X102" i="2"/>
  <c r="X98" i="2"/>
  <c r="X94" i="2"/>
  <c r="X90" i="2"/>
  <c r="X86" i="2"/>
  <c r="X82" i="2"/>
  <c r="X78" i="2"/>
  <c r="X74" i="2"/>
  <c r="X70" i="2"/>
  <c r="X66" i="2"/>
  <c r="X62" i="2"/>
  <c r="X58" i="2"/>
  <c r="X54" i="2"/>
  <c r="X50" i="2"/>
  <c r="X46" i="2"/>
  <c r="X42" i="2"/>
  <c r="X38" i="2"/>
  <c r="X34" i="2"/>
  <c r="X30" i="2"/>
  <c r="X26" i="2"/>
  <c r="X22" i="2"/>
  <c r="X18" i="2"/>
  <c r="X14" i="2"/>
  <c r="X10" i="2"/>
  <c r="X6" i="2"/>
  <c r="X179" i="2"/>
  <c r="W146" i="2"/>
  <c r="W114" i="2"/>
  <c r="W82" i="2"/>
  <c r="W50" i="2"/>
  <c r="W18" i="2"/>
  <c r="W175" i="2"/>
  <c r="W142" i="2"/>
  <c r="W110" i="2"/>
  <c r="W78" i="2"/>
  <c r="W46" i="2"/>
  <c r="W14" i="2"/>
  <c r="X170" i="2"/>
  <c r="W138" i="2"/>
  <c r="W106" i="2"/>
  <c r="W74" i="2"/>
  <c r="W42" i="2"/>
  <c r="W10" i="2"/>
  <c r="X202" i="2"/>
  <c r="W166" i="2"/>
  <c r="W134" i="2"/>
  <c r="W102" i="2"/>
  <c r="W70" i="2"/>
  <c r="W38" i="2"/>
  <c r="W6" i="2"/>
  <c r="X197" i="2"/>
  <c r="W162" i="2"/>
  <c r="W130" i="2"/>
  <c r="W98" i="2"/>
  <c r="W66" i="2"/>
  <c r="W34" i="2"/>
  <c r="W193" i="2"/>
  <c r="W158" i="2"/>
  <c r="W126" i="2"/>
  <c r="W94" i="2"/>
  <c r="W62" i="2"/>
  <c r="W30" i="2"/>
  <c r="X188" i="2"/>
  <c r="W154" i="2"/>
  <c r="W122" i="2"/>
  <c r="W90" i="2"/>
  <c r="W58" i="2"/>
  <c r="W26" i="2"/>
  <c r="W150" i="2"/>
  <c r="W118" i="2"/>
  <c r="W86" i="2"/>
  <c r="W54" i="2"/>
  <c r="W22" i="2"/>
  <c r="W184" i="2"/>
  <c r="Y200" i="2" l="1" a="1"/>
  <c r="Y200" i="2" s="1"/>
  <c r="Z3" i="2" a="1"/>
  <c r="Y199" i="2" a="1"/>
  <c r="Y199" i="2" s="1"/>
  <c r="Y198" i="2" s="1" a="1"/>
  <c r="Y198" i="2" s="1"/>
  <c r="Y197" i="2" s="1" a="1"/>
  <c r="Y197" i="2" s="1"/>
  <c r="Y196" i="2" s="1" a="1"/>
  <c r="Y196" i="2" s="1"/>
  <c r="Y195" i="2" s="1" a="1"/>
  <c r="Y195" i="2" s="1"/>
  <c r="Y194" i="2" s="1" a="1"/>
  <c r="Y194" i="2" s="1"/>
  <c r="Y193" i="2" s="1" a="1"/>
  <c r="Y193" i="2" s="1"/>
  <c r="Y192" i="2" s="1" a="1"/>
  <c r="Y192" i="2" s="1"/>
  <c r="Y191" i="2" s="1" a="1"/>
  <c r="Y191" i="2" s="1"/>
  <c r="Y190" i="2" s="1" a="1"/>
  <c r="Y190" i="2" s="1"/>
  <c r="Y189" i="2" s="1" a="1"/>
  <c r="Y189" i="2" s="1"/>
  <c r="Y188" i="2" s="1" a="1"/>
  <c r="Y188" i="2" s="1"/>
  <c r="Y187" i="2" s="1" a="1"/>
  <c r="Y187" i="2" s="1"/>
  <c r="Y186" i="2" s="1" a="1"/>
  <c r="Y186" i="2" s="1"/>
  <c r="Y185" i="2" s="1" a="1"/>
  <c r="Y185" i="2" s="1"/>
  <c r="Y184" i="2" s="1" a="1"/>
  <c r="Y184" i="2" s="1"/>
  <c r="Y183" i="2" s="1" a="1"/>
  <c r="Y183" i="2" s="1"/>
  <c r="Y182" i="2" s="1" a="1"/>
  <c r="Y182" i="2" s="1"/>
  <c r="Y181" i="2" s="1" a="1"/>
  <c r="Y181" i="2" s="1"/>
  <c r="Y180" i="2" s="1" a="1"/>
  <c r="Y180" i="2" s="1"/>
  <c r="Y179" i="2" s="1" a="1"/>
  <c r="Y179" i="2" s="1"/>
  <c r="Y178" i="2" s="1" a="1"/>
  <c r="Y178" i="2" s="1"/>
  <c r="Y177" i="2" s="1" a="1"/>
  <c r="Y177" i="2" s="1"/>
  <c r="Y176" i="2" s="1" a="1"/>
  <c r="Y176" i="2" s="1"/>
  <c r="Y175" i="2" s="1" a="1"/>
  <c r="Y175" i="2" s="1"/>
  <c r="Y174" i="2" s="1" a="1"/>
  <c r="Y174" i="2" s="1"/>
  <c r="Y173" i="2" s="1" a="1"/>
  <c r="Y173" i="2" s="1"/>
  <c r="Y172" i="2" s="1" a="1"/>
  <c r="Y172" i="2" s="1"/>
  <c r="Y171" i="2" s="1" a="1"/>
  <c r="Y171" i="2" s="1"/>
  <c r="Y170" i="2" s="1" a="1"/>
  <c r="Y170" i="2" s="1"/>
  <c r="Y169" i="2" s="1" a="1"/>
  <c r="Y169" i="2" s="1"/>
  <c r="Y168" i="2" s="1" a="1"/>
  <c r="Y168" i="2" s="1"/>
  <c r="Y167" i="2" s="1" a="1"/>
  <c r="Y167" i="2" s="1"/>
  <c r="Y166" i="2" s="1" a="1"/>
  <c r="Y166" i="2" s="1"/>
  <c r="Y165" i="2" s="1" a="1"/>
  <c r="Y165" i="2" s="1"/>
  <c r="Y164" i="2" s="1" a="1"/>
  <c r="Y164" i="2" s="1"/>
  <c r="Y163" i="2" s="1" a="1"/>
  <c r="Y163" i="2" s="1"/>
  <c r="Y162" i="2" s="1" a="1"/>
  <c r="Y162" i="2" s="1"/>
  <c r="Y161" i="2" s="1" a="1"/>
  <c r="Y161" i="2" s="1"/>
  <c r="Y160" i="2" s="1" a="1"/>
  <c r="Y160" i="2" s="1"/>
  <c r="Y159" i="2" s="1" a="1"/>
  <c r="Y159" i="2" s="1"/>
  <c r="Y158" i="2" s="1" a="1"/>
  <c r="Y158" i="2" s="1"/>
  <c r="Y157" i="2" s="1" a="1"/>
  <c r="Y157" i="2" s="1"/>
  <c r="Y156" i="2" s="1" a="1"/>
  <c r="Y156" i="2" s="1"/>
  <c r="Y155" i="2" s="1" a="1"/>
  <c r="Y155" i="2" s="1"/>
  <c r="Y154" i="2" s="1" a="1"/>
  <c r="Y154" i="2" s="1"/>
  <c r="Y153" i="2" s="1" a="1"/>
  <c r="Y153" i="2" s="1"/>
  <c r="Y152" i="2" s="1" a="1"/>
  <c r="Y152" i="2" s="1"/>
  <c r="Y151" i="2" s="1" a="1"/>
  <c r="Y151" i="2" s="1"/>
  <c r="Y150" i="2" s="1" a="1"/>
  <c r="Y150" i="2" s="1"/>
  <c r="Y149" i="2" s="1" a="1"/>
  <c r="Y149" i="2" s="1"/>
  <c r="Y148" i="2" s="1" a="1"/>
  <c r="Y148" i="2" s="1"/>
  <c r="Y147" i="2" s="1" a="1"/>
  <c r="Y147" i="2" s="1"/>
  <c r="Y146" i="2" s="1" a="1"/>
  <c r="Y146" i="2" s="1"/>
  <c r="Y145" i="2" s="1" a="1"/>
  <c r="Y145" i="2" s="1"/>
  <c r="Y144" i="2" s="1" a="1"/>
  <c r="Y144" i="2" s="1"/>
  <c r="Y143" i="2" s="1" a="1"/>
  <c r="Y143" i="2" s="1"/>
  <c r="Y142" i="2" s="1" a="1"/>
  <c r="Y142" i="2" s="1"/>
  <c r="Y141" i="2" s="1" a="1"/>
  <c r="Y141" i="2" s="1"/>
  <c r="Y140" i="2" s="1" a="1"/>
  <c r="Y140" i="2" s="1"/>
  <c r="Y139" i="2" s="1" a="1"/>
  <c r="Y139" i="2" s="1"/>
  <c r="Y138" i="2" s="1" a="1"/>
  <c r="Y138" i="2" s="1"/>
  <c r="Y137" i="2" s="1" a="1"/>
  <c r="Y137" i="2" s="1"/>
  <c r="Y136" i="2" s="1" a="1"/>
  <c r="Y136" i="2" s="1"/>
  <c r="Y135" i="2" s="1" a="1"/>
  <c r="Y135" i="2" s="1"/>
  <c r="Y134" i="2" s="1" a="1"/>
  <c r="Y134" i="2" s="1"/>
  <c r="Y133" i="2" s="1" a="1"/>
  <c r="Y133" i="2" s="1"/>
  <c r="Y132" i="2" s="1" a="1"/>
  <c r="Y132" i="2" s="1"/>
  <c r="Y131" i="2" s="1" a="1"/>
  <c r="Y131" i="2" s="1"/>
  <c r="Y130" i="2" s="1" a="1"/>
  <c r="Y130" i="2" s="1"/>
  <c r="Y129" i="2" s="1" a="1"/>
  <c r="Y129" i="2" s="1"/>
  <c r="Y128" i="2" s="1" a="1"/>
  <c r="Y128" i="2" s="1"/>
  <c r="Y127" i="2" s="1" a="1"/>
  <c r="Y127" i="2" s="1"/>
  <c r="Y126" i="2" s="1" a="1"/>
  <c r="Y126" i="2" s="1"/>
  <c r="Y125" i="2" s="1" a="1"/>
  <c r="Y125" i="2" s="1"/>
  <c r="Y124" i="2" s="1" a="1"/>
  <c r="Y124" i="2" s="1"/>
  <c r="Y123" i="2" s="1" a="1"/>
  <c r="Y123" i="2" s="1"/>
  <c r="Y122" i="2" s="1" a="1"/>
  <c r="Y122" i="2" s="1"/>
  <c r="Y121" i="2" s="1" a="1"/>
  <c r="Y121" i="2" s="1"/>
  <c r="Y120" i="2" s="1" a="1"/>
  <c r="Y120" i="2" s="1"/>
  <c r="Y119" i="2" s="1" a="1"/>
  <c r="Y119" i="2" s="1"/>
  <c r="Y118" i="2" s="1" a="1"/>
  <c r="Y118" i="2" s="1"/>
  <c r="Y117" i="2" s="1" a="1"/>
  <c r="Y117" i="2" s="1"/>
  <c r="Y116" i="2" s="1" a="1"/>
  <c r="Y116" i="2" s="1"/>
  <c r="Y115" i="2" s="1" a="1"/>
  <c r="Y115" i="2" s="1"/>
  <c r="Y114" i="2" s="1" a="1"/>
  <c r="Y114" i="2" s="1"/>
  <c r="Y113" i="2" s="1" a="1"/>
  <c r="Y113" i="2" s="1"/>
  <c r="Y112" i="2" s="1" a="1"/>
  <c r="Y112" i="2" s="1"/>
  <c r="Y111" i="2" s="1" a="1"/>
  <c r="Y111" i="2" s="1"/>
  <c r="Y110" i="2" s="1" a="1"/>
  <c r="Y110" i="2" s="1"/>
  <c r="Y109" i="2" s="1" a="1"/>
  <c r="Y109" i="2" s="1"/>
  <c r="Y108" i="2" s="1" a="1"/>
  <c r="Y108" i="2" s="1"/>
  <c r="Y107" i="2" s="1" a="1"/>
  <c r="Y107" i="2" s="1"/>
  <c r="Y106" i="2" s="1" a="1"/>
  <c r="Y106" i="2" s="1"/>
  <c r="Y105" i="2" s="1" a="1"/>
  <c r="Y105" i="2" s="1"/>
  <c r="Y104" i="2" s="1" a="1"/>
  <c r="Y104" i="2" s="1"/>
  <c r="Y103" i="2" s="1" a="1"/>
  <c r="Y103" i="2" s="1"/>
  <c r="Y102" i="2" s="1" a="1"/>
  <c r="Y102" i="2" s="1"/>
  <c r="Y101" i="2" s="1" a="1"/>
  <c r="Y101" i="2" s="1"/>
  <c r="Y100" i="2" s="1" a="1"/>
  <c r="Y100" i="2" s="1"/>
  <c r="Y99" i="2" s="1" a="1"/>
  <c r="Y99" i="2" s="1"/>
  <c r="Y98" i="2" s="1" a="1"/>
  <c r="Y98" i="2" s="1"/>
  <c r="Y97" i="2" s="1" a="1"/>
  <c r="Y97" i="2" s="1"/>
  <c r="Y96" i="2" s="1" a="1"/>
  <c r="Y96" i="2" s="1"/>
  <c r="Y95" i="2" s="1" a="1"/>
  <c r="Y95" i="2" s="1"/>
  <c r="Y94" i="2" s="1" a="1"/>
  <c r="Y94" i="2" s="1"/>
  <c r="Y93" i="2" s="1" a="1"/>
  <c r="Y93" i="2" s="1"/>
  <c r="Y92" i="2" s="1" a="1"/>
  <c r="Y92" i="2" s="1"/>
  <c r="Y91" i="2" s="1" a="1"/>
  <c r="Y91" i="2" s="1"/>
  <c r="Y90" i="2" s="1" a="1"/>
  <c r="Y90" i="2" s="1"/>
  <c r="Y89" i="2" s="1" a="1"/>
  <c r="Y89" i="2" s="1"/>
  <c r="Y88" i="2" s="1" a="1"/>
  <c r="Y88" i="2" s="1"/>
  <c r="Y87" i="2" s="1" a="1"/>
  <c r="Y87" i="2" s="1"/>
  <c r="Y86" i="2" s="1" a="1"/>
  <c r="Y86" i="2" s="1"/>
  <c r="Y85" i="2" s="1" a="1"/>
  <c r="Y85" i="2" s="1"/>
  <c r="Y84" i="2" s="1" a="1"/>
  <c r="Y84" i="2" s="1"/>
  <c r="Y83" i="2" s="1" a="1"/>
  <c r="Y83" i="2" s="1"/>
  <c r="Y82" i="2" s="1" a="1"/>
  <c r="Y82" i="2" s="1"/>
  <c r="Y81" i="2" s="1" a="1"/>
  <c r="Y81" i="2" s="1"/>
  <c r="Y80" i="2" s="1" a="1"/>
  <c r="Y80" i="2" s="1"/>
  <c r="Y79" i="2" s="1" a="1"/>
  <c r="Y79" i="2" s="1"/>
  <c r="Y78" i="2" s="1" a="1"/>
  <c r="Y78" i="2" s="1"/>
  <c r="Y77" i="2" s="1" a="1"/>
  <c r="Y77" i="2" s="1"/>
  <c r="Y76" i="2" s="1" a="1"/>
  <c r="Y76" i="2" s="1"/>
  <c r="Y75" i="2" s="1" a="1"/>
  <c r="Y75" i="2" s="1"/>
  <c r="Y74" i="2" s="1" a="1"/>
  <c r="Y74" i="2" s="1"/>
  <c r="Y73" i="2" s="1" a="1"/>
  <c r="Y73" i="2" s="1"/>
  <c r="Y72" i="2" s="1" a="1"/>
  <c r="Y72" i="2" s="1"/>
  <c r="Y71" i="2" s="1" a="1"/>
  <c r="Y71" i="2" s="1"/>
  <c r="Y70" i="2" s="1" a="1"/>
  <c r="Y70" i="2" s="1"/>
  <c r="Y69" i="2" s="1" a="1"/>
  <c r="Y69" i="2" s="1"/>
  <c r="Y68" i="2" s="1" a="1"/>
  <c r="Y68" i="2" s="1"/>
  <c r="Y67" i="2" s="1" a="1"/>
  <c r="Y67" i="2" s="1"/>
  <c r="Y66" i="2" s="1" a="1"/>
  <c r="Y66" i="2" s="1"/>
  <c r="Y65" i="2" s="1" a="1"/>
  <c r="Y65" i="2" s="1"/>
  <c r="Y64" i="2" s="1" a="1"/>
  <c r="Y64" i="2" s="1"/>
  <c r="Y63" i="2" s="1" a="1"/>
  <c r="Y63" i="2" s="1"/>
  <c r="Y62" i="2" s="1" a="1"/>
  <c r="Y62" i="2" s="1"/>
  <c r="Y61" i="2" s="1" a="1"/>
  <c r="Y61" i="2" s="1"/>
  <c r="Y60" i="2" s="1" a="1"/>
  <c r="Y60" i="2" s="1"/>
  <c r="Y59" i="2" s="1" a="1"/>
  <c r="Y59" i="2" s="1"/>
  <c r="Y58" i="2" s="1" a="1"/>
  <c r="Y58" i="2" s="1"/>
  <c r="Y57" i="2" s="1" a="1"/>
  <c r="Y57" i="2" s="1"/>
  <c r="Y56" i="2" s="1" a="1"/>
  <c r="Y56" i="2" s="1"/>
  <c r="Y55" i="2" s="1" a="1"/>
  <c r="Y55" i="2" s="1"/>
  <c r="Y54" i="2" s="1" a="1"/>
  <c r="Y54" i="2" s="1"/>
  <c r="Y53" i="2" s="1" a="1"/>
  <c r="Y53" i="2" s="1"/>
  <c r="Y52" i="2" s="1" a="1"/>
  <c r="Y52" i="2" s="1"/>
  <c r="Y51" i="2" s="1" a="1"/>
  <c r="Y51" i="2" s="1"/>
  <c r="Y50" i="2" s="1" a="1"/>
  <c r="Y50" i="2" s="1"/>
  <c r="Y49" i="2" s="1" a="1"/>
  <c r="Y49" i="2" s="1"/>
  <c r="Y48" i="2" s="1" a="1"/>
  <c r="Y48" i="2" s="1"/>
  <c r="Y47" i="2" s="1" a="1"/>
  <c r="Y47" i="2" s="1"/>
  <c r="Y46" i="2" s="1" a="1"/>
  <c r="Y46" i="2" s="1"/>
  <c r="Y45" i="2" s="1" a="1"/>
  <c r="Y45" i="2" s="1"/>
  <c r="Y44" i="2" s="1" a="1"/>
  <c r="Y44" i="2" s="1"/>
  <c r="Y43" i="2" s="1" a="1"/>
  <c r="Y43" i="2" s="1"/>
  <c r="Y42" i="2" s="1" a="1"/>
  <c r="Y42" i="2" s="1"/>
  <c r="Y41" i="2" s="1" a="1"/>
  <c r="Y41" i="2" s="1"/>
  <c r="Y40" i="2" s="1" a="1"/>
  <c r="Y40" i="2" s="1"/>
  <c r="Y39" i="2" s="1" a="1"/>
  <c r="Y39" i="2" s="1"/>
  <c r="Y38" i="2" s="1" a="1"/>
  <c r="Y38" i="2" s="1"/>
  <c r="Y37" i="2" s="1" a="1"/>
  <c r="Y37" i="2" s="1"/>
  <c r="Y36" i="2" s="1" a="1"/>
  <c r="Y36" i="2" s="1"/>
  <c r="Y35" i="2" s="1" a="1"/>
  <c r="Y35" i="2" s="1"/>
  <c r="Y34" i="2" s="1" a="1"/>
  <c r="Y34" i="2" s="1"/>
  <c r="Y33" i="2" s="1" a="1"/>
  <c r="Y33" i="2" s="1"/>
  <c r="Y32" i="2" s="1" a="1"/>
  <c r="Y32" i="2" s="1"/>
  <c r="Y31" i="2" s="1" a="1"/>
  <c r="Y31" i="2" s="1"/>
  <c r="Y30" i="2" s="1" a="1"/>
  <c r="Y30" i="2" s="1"/>
  <c r="Y29" i="2" s="1" a="1"/>
  <c r="Y29" i="2" s="1"/>
  <c r="Y28" i="2" s="1" a="1"/>
  <c r="Y28" i="2" s="1"/>
  <c r="Y27" i="2" s="1" a="1"/>
  <c r="Y27" i="2" s="1"/>
  <c r="Y26" i="2" s="1" a="1"/>
  <c r="Y26" i="2" s="1"/>
  <c r="Y25" i="2" s="1" a="1"/>
  <c r="Y25" i="2" s="1"/>
  <c r="Y24" i="2" s="1" a="1"/>
  <c r="Y24" i="2" s="1"/>
  <c r="Y23" i="2" s="1" a="1"/>
  <c r="Y23" i="2" s="1"/>
  <c r="Y22" i="2" s="1" a="1"/>
  <c r="Y22" i="2" s="1"/>
  <c r="Y21" i="2" s="1" a="1"/>
  <c r="Y21" i="2" s="1"/>
  <c r="Y20" i="2" s="1" a="1"/>
  <c r="Y20" i="2" s="1"/>
  <c r="Y19" i="2" s="1" a="1"/>
  <c r="Y19" i="2" s="1"/>
  <c r="Y18" i="2" s="1" a="1"/>
  <c r="Y18" i="2" s="1"/>
  <c r="Y17" i="2" s="1" a="1"/>
  <c r="Y17" i="2" s="1"/>
  <c r="Y16" i="2" s="1" a="1"/>
  <c r="Y16" i="2" s="1"/>
  <c r="Y15" i="2" s="1" a="1"/>
  <c r="Y15" i="2" s="1"/>
  <c r="Y14" i="2" s="1" a="1"/>
  <c r="Y14" i="2" s="1"/>
  <c r="Y13" i="2" s="1" a="1"/>
  <c r="Y13" i="2" s="1"/>
  <c r="Y12" i="2" s="1" a="1"/>
  <c r="Y12" i="2" s="1"/>
  <c r="Y11" i="2" s="1" a="1"/>
  <c r="Y11" i="2" s="1"/>
  <c r="Y10" i="2" s="1" a="1"/>
  <c r="Y10" i="2" s="1"/>
  <c r="Y9" i="2" s="1" a="1"/>
  <c r="Y9" i="2" s="1"/>
  <c r="Y8" i="2" s="1" a="1"/>
  <c r="Y8" i="2" s="1"/>
  <c r="Y7" i="2" s="1" a="1"/>
  <c r="Y7" i="2" s="1"/>
  <c r="Y6" i="2" s="1" a="1"/>
  <c r="Y6" i="2" s="1"/>
  <c r="Y5" i="2" s="1" a="1"/>
  <c r="Y5" i="2" s="1"/>
  <c r="Y4" i="2" s="1" a="1"/>
  <c r="Y4" i="2" s="1"/>
  <c r="Y202" i="2" a="1"/>
  <c r="Y202" i="2" s="1"/>
  <c r="X1" i="2" a="1"/>
  <c r="X1" i="2" s="1"/>
  <c r="Y3" i="2" a="1"/>
  <c r="Y3" i="2" s="1"/>
  <c r="AK3" i="2" l="1" a="1"/>
  <c r="AM3" i="2" a="1"/>
  <c r="AQ3" i="2" a="1"/>
  <c r="AS3" i="2" a="1"/>
  <c r="AT3" i="2" a="1"/>
  <c r="AR3" i="2" a="1"/>
  <c r="Z3" i="2"/>
  <c r="AA3" i="2" s="1" a="1"/>
  <c r="Z202" i="2"/>
  <c r="Z194" i="2"/>
  <c r="Z186" i="2"/>
  <c r="Z178" i="2"/>
  <c r="Z170" i="2"/>
  <c r="Z162" i="2"/>
  <c r="Z154" i="2"/>
  <c r="Z146" i="2"/>
  <c r="Z138" i="2"/>
  <c r="Z130" i="2"/>
  <c r="Z122" i="2"/>
  <c r="Z114" i="2"/>
  <c r="Z106" i="2"/>
  <c r="Z98" i="2"/>
  <c r="Z90" i="2"/>
  <c r="Z82" i="2"/>
  <c r="Z74" i="2"/>
  <c r="Z66" i="2"/>
  <c r="Z58" i="2"/>
  <c r="Z50" i="2"/>
  <c r="Z42" i="2"/>
  <c r="Z34" i="2"/>
  <c r="Z26" i="2"/>
  <c r="Z18" i="2"/>
  <c r="Z10" i="2"/>
  <c r="Z201" i="2"/>
  <c r="Z193" i="2"/>
  <c r="Z185" i="2"/>
  <c r="Z177" i="2"/>
  <c r="Z169" i="2"/>
  <c r="Z161" i="2"/>
  <c r="Z153" i="2"/>
  <c r="Z145" i="2"/>
  <c r="Z137" i="2"/>
  <c r="Z129" i="2"/>
  <c r="Z121" i="2"/>
  <c r="Z113" i="2"/>
  <c r="Z105" i="2"/>
  <c r="Z97" i="2"/>
  <c r="Z89" i="2"/>
  <c r="Z81" i="2"/>
  <c r="Z73" i="2"/>
  <c r="Z65" i="2"/>
  <c r="Z57" i="2"/>
  <c r="Z49" i="2"/>
  <c r="Z41" i="2"/>
  <c r="Z33" i="2"/>
  <c r="Z25" i="2"/>
  <c r="Z200" i="2"/>
  <c r="Z192" i="2"/>
  <c r="Z184" i="2"/>
  <c r="Z176" i="2"/>
  <c r="Z168" i="2"/>
  <c r="Z160" i="2"/>
  <c r="Z152" i="2"/>
  <c r="Z144" i="2"/>
  <c r="Z136" i="2"/>
  <c r="Z128" i="2"/>
  <c r="Z120" i="2"/>
  <c r="Z112" i="2"/>
  <c r="Z104" i="2"/>
  <c r="Z96" i="2"/>
  <c r="Z88" i="2"/>
  <c r="Z80" i="2"/>
  <c r="Z72" i="2"/>
  <c r="Z64" i="2"/>
  <c r="Z56" i="2"/>
  <c r="Z48" i="2"/>
  <c r="Z199" i="2"/>
  <c r="Z191" i="2"/>
  <c r="Z183" i="2"/>
  <c r="Z175" i="2"/>
  <c r="Z167" i="2"/>
  <c r="Z159" i="2"/>
  <c r="Z151" i="2"/>
  <c r="Z143" i="2"/>
  <c r="Z135" i="2"/>
  <c r="Z127" i="2"/>
  <c r="Z119" i="2"/>
  <c r="Z111" i="2"/>
  <c r="Z103" i="2"/>
  <c r="Z95" i="2"/>
  <c r="Z87" i="2"/>
  <c r="Z79" i="2"/>
  <c r="Z71" i="2"/>
  <c r="Z63" i="2"/>
  <c r="Z55" i="2"/>
  <c r="Z47" i="2"/>
  <c r="Z39" i="2"/>
  <c r="Z31" i="2"/>
  <c r="Z23" i="2"/>
  <c r="Z198" i="2"/>
  <c r="Z190" i="2"/>
  <c r="Z182" i="2"/>
  <c r="Z174" i="2"/>
  <c r="Z166" i="2"/>
  <c r="Z158" i="2"/>
  <c r="Z150" i="2"/>
  <c r="Z142" i="2"/>
  <c r="Z134" i="2"/>
  <c r="Z126" i="2"/>
  <c r="Z118" i="2"/>
  <c r="Z110" i="2"/>
  <c r="Z102" i="2"/>
  <c r="Z94" i="2"/>
  <c r="Z86" i="2"/>
  <c r="Z78" i="2"/>
  <c r="Z70" i="2"/>
  <c r="Z62" i="2"/>
  <c r="Z54" i="2"/>
  <c r="Z46" i="2"/>
  <c r="Z38" i="2"/>
  <c r="Z30" i="2"/>
  <c r="Z22" i="2"/>
  <c r="Z14" i="2"/>
  <c r="Z197" i="2"/>
  <c r="Z189" i="2"/>
  <c r="Z181" i="2"/>
  <c r="Z173" i="2"/>
  <c r="Z165" i="2"/>
  <c r="Z157" i="2"/>
  <c r="Z149" i="2"/>
  <c r="Z141" i="2"/>
  <c r="Z133" i="2"/>
  <c r="Z125" i="2"/>
  <c r="Z117" i="2"/>
  <c r="Z109" i="2"/>
  <c r="Z101" i="2"/>
  <c r="Z93" i="2"/>
  <c r="Z85" i="2"/>
  <c r="Z77" i="2"/>
  <c r="Z69" i="2"/>
  <c r="Z61" i="2"/>
  <c r="Z53" i="2"/>
  <c r="Z45" i="2"/>
  <c r="Z37" i="2"/>
  <c r="Z29" i="2"/>
  <c r="Z21" i="2"/>
  <c r="Z172" i="2"/>
  <c r="Z140" i="2"/>
  <c r="Z108" i="2"/>
  <c r="Z76" i="2"/>
  <c r="Z44" i="2"/>
  <c r="Z24" i="2"/>
  <c r="Z11" i="2"/>
  <c r="Z171" i="2"/>
  <c r="Z139" i="2"/>
  <c r="Z107" i="2"/>
  <c r="Z75" i="2"/>
  <c r="Z43" i="2"/>
  <c r="Z20" i="2"/>
  <c r="Z9" i="2"/>
  <c r="Z196" i="2"/>
  <c r="Z164" i="2"/>
  <c r="Z132" i="2"/>
  <c r="Z100" i="2"/>
  <c r="Z68" i="2"/>
  <c r="Z40" i="2"/>
  <c r="Z19" i="2"/>
  <c r="Z8" i="2"/>
  <c r="Z195" i="2"/>
  <c r="Z163" i="2"/>
  <c r="Z131" i="2"/>
  <c r="Z99" i="2"/>
  <c r="Z67" i="2"/>
  <c r="Z36" i="2"/>
  <c r="Z17" i="2"/>
  <c r="Z7" i="2"/>
  <c r="Z188" i="2"/>
  <c r="Z156" i="2"/>
  <c r="Z124" i="2"/>
  <c r="Z92" i="2"/>
  <c r="Z60" i="2"/>
  <c r="Z35" i="2"/>
  <c r="Z16" i="2"/>
  <c r="Z6" i="2"/>
  <c r="Z187" i="2"/>
  <c r="Z155" i="2"/>
  <c r="Z123" i="2"/>
  <c r="Z91" i="2"/>
  <c r="Z59" i="2"/>
  <c r="Z32" i="2"/>
  <c r="Z15" i="2"/>
  <c r="Z5" i="2"/>
  <c r="Z180" i="2"/>
  <c r="Z148" i="2"/>
  <c r="Z116" i="2"/>
  <c r="Z84" i="2"/>
  <c r="Z52" i="2"/>
  <c r="Z28" i="2"/>
  <c r="Z13" i="2"/>
  <c r="Z4" i="2"/>
  <c r="Z51" i="2"/>
  <c r="Z27" i="2"/>
  <c r="Z12" i="2"/>
  <c r="Z179" i="2"/>
  <c r="Z147" i="2"/>
  <c r="Z115" i="2"/>
  <c r="Z83" i="2"/>
  <c r="AK3" i="2" l="1"/>
  <c r="AK72" i="2"/>
  <c r="AK64" i="2"/>
  <c r="AK56" i="2"/>
  <c r="AK48" i="2"/>
  <c r="AK40" i="2"/>
  <c r="AK32" i="2"/>
  <c r="AK24" i="2"/>
  <c r="AK16" i="2"/>
  <c r="AK8" i="2"/>
  <c r="AK71" i="2"/>
  <c r="AK63" i="2"/>
  <c r="AK55" i="2"/>
  <c r="AK47" i="2"/>
  <c r="AK39" i="2"/>
  <c r="AK31" i="2"/>
  <c r="AK23" i="2"/>
  <c r="AK15" i="2"/>
  <c r="AK7" i="2"/>
  <c r="AK78" i="2"/>
  <c r="AK70" i="2"/>
  <c r="AK62" i="2"/>
  <c r="AK54" i="2"/>
  <c r="AK46" i="2"/>
  <c r="AK38" i="2"/>
  <c r="AK30" i="2"/>
  <c r="AK22" i="2"/>
  <c r="AK14" i="2"/>
  <c r="AK6" i="2"/>
  <c r="AK76" i="2"/>
  <c r="AK68" i="2"/>
  <c r="AK60" i="2"/>
  <c r="AK52" i="2"/>
  <c r="AK44" i="2"/>
  <c r="AK36" i="2"/>
  <c r="AK28" i="2"/>
  <c r="AK20" i="2"/>
  <c r="AK12" i="2"/>
  <c r="AK4" i="2"/>
  <c r="AK75" i="2"/>
  <c r="AK67" i="2"/>
  <c r="AK59" i="2"/>
  <c r="AK51" i="2"/>
  <c r="AK43" i="2"/>
  <c r="AK35" i="2"/>
  <c r="AK27" i="2"/>
  <c r="AK19" i="2"/>
  <c r="AK11" i="2"/>
  <c r="AK73" i="2"/>
  <c r="AK65" i="2"/>
  <c r="AK57" i="2"/>
  <c r="AK49" i="2"/>
  <c r="AK41" i="2"/>
  <c r="AK33" i="2"/>
  <c r="AK25" i="2"/>
  <c r="AK17" i="2"/>
  <c r="AK9" i="2"/>
  <c r="AK50" i="2"/>
  <c r="AK18" i="2"/>
  <c r="AK77" i="2"/>
  <c r="AK45" i="2"/>
  <c r="AK13" i="2"/>
  <c r="AK74" i="2"/>
  <c r="AK42" i="2"/>
  <c r="AK10" i="2"/>
  <c r="AK69" i="2"/>
  <c r="AK37" i="2"/>
  <c r="AK5" i="2"/>
  <c r="AK66" i="2"/>
  <c r="AK34" i="2"/>
  <c r="AK61" i="2"/>
  <c r="AK29" i="2"/>
  <c r="AK26" i="2"/>
  <c r="AK21" i="2"/>
  <c r="AK58" i="2"/>
  <c r="AK53" i="2"/>
  <c r="AR3" i="2"/>
  <c r="AR71" i="2"/>
  <c r="AR63" i="2"/>
  <c r="AR55" i="2"/>
  <c r="AR47" i="2"/>
  <c r="AR39" i="2"/>
  <c r="AR31" i="2"/>
  <c r="AR23" i="2"/>
  <c r="AR15" i="2"/>
  <c r="AR7" i="2"/>
  <c r="AR74" i="2"/>
  <c r="AR66" i="2"/>
  <c r="AR58" i="2"/>
  <c r="AR50" i="2"/>
  <c r="AR42" i="2"/>
  <c r="AR34" i="2"/>
  <c r="AR26" i="2"/>
  <c r="AR18" i="2"/>
  <c r="AR10" i="2"/>
  <c r="AR73" i="2"/>
  <c r="AR65" i="2"/>
  <c r="AR57" i="2"/>
  <c r="AR49" i="2"/>
  <c r="AR41" i="2"/>
  <c r="AR33" i="2"/>
  <c r="AR25" i="2"/>
  <c r="AR17" i="2"/>
  <c r="AR9" i="2"/>
  <c r="AR77" i="2"/>
  <c r="AR64" i="2"/>
  <c r="AR52" i="2"/>
  <c r="AR38" i="2"/>
  <c r="AR27" i="2"/>
  <c r="AR13" i="2"/>
  <c r="AR76" i="2"/>
  <c r="AR62" i="2"/>
  <c r="AR51" i="2"/>
  <c r="AR37" i="2"/>
  <c r="AR24" i="2"/>
  <c r="AR12" i="2"/>
  <c r="AR75" i="2"/>
  <c r="AR61" i="2"/>
  <c r="AR48" i="2"/>
  <c r="AR36" i="2"/>
  <c r="AR22" i="2"/>
  <c r="AR11" i="2"/>
  <c r="AR69" i="2"/>
  <c r="AR56" i="2"/>
  <c r="AR44" i="2"/>
  <c r="AR30" i="2"/>
  <c r="AR19" i="2"/>
  <c r="AR5" i="2"/>
  <c r="AR70" i="2"/>
  <c r="AR45" i="2"/>
  <c r="AR20" i="2"/>
  <c r="AR68" i="2"/>
  <c r="AR43" i="2"/>
  <c r="AR16" i="2"/>
  <c r="AR67" i="2"/>
  <c r="AR40" i="2"/>
  <c r="AR14" i="2"/>
  <c r="AR59" i="2"/>
  <c r="AR32" i="2"/>
  <c r="AR6" i="2"/>
  <c r="AR54" i="2"/>
  <c r="AR29" i="2"/>
  <c r="AR4" i="2"/>
  <c r="AR72" i="2"/>
  <c r="AR46" i="2"/>
  <c r="AR21" i="2"/>
  <c r="AR28" i="2"/>
  <c r="AR8" i="2"/>
  <c r="AR78" i="2"/>
  <c r="AR60" i="2"/>
  <c r="AR53" i="2"/>
  <c r="AR35" i="2"/>
  <c r="AT3" i="2"/>
  <c r="AT73" i="2"/>
  <c r="AT65" i="2"/>
  <c r="AT57" i="2"/>
  <c r="AT49" i="2"/>
  <c r="AT41" i="2"/>
  <c r="AT33" i="2"/>
  <c r="AT25" i="2"/>
  <c r="AT17" i="2"/>
  <c r="AT9" i="2"/>
  <c r="AT76" i="2"/>
  <c r="AT68" i="2"/>
  <c r="AT60" i="2"/>
  <c r="AT52" i="2"/>
  <c r="AT44" i="2"/>
  <c r="AT36" i="2"/>
  <c r="AT28" i="2"/>
  <c r="AT20" i="2"/>
  <c r="AT12" i="2"/>
  <c r="AT4" i="2"/>
  <c r="AT75" i="2"/>
  <c r="AT67" i="2"/>
  <c r="AT59" i="2"/>
  <c r="AT51" i="2"/>
  <c r="AT43" i="2"/>
  <c r="AT35" i="2"/>
  <c r="AT27" i="2"/>
  <c r="AT19" i="2"/>
  <c r="AT11" i="2"/>
  <c r="AT69" i="2"/>
  <c r="AT55" i="2"/>
  <c r="AT42" i="2"/>
  <c r="AT30" i="2"/>
  <c r="AT16" i="2"/>
  <c r="AT5" i="2"/>
  <c r="AT66" i="2"/>
  <c r="AT54" i="2"/>
  <c r="AT40" i="2"/>
  <c r="AT29" i="2"/>
  <c r="AT15" i="2"/>
  <c r="AT78" i="2"/>
  <c r="AT64" i="2"/>
  <c r="AT53" i="2"/>
  <c r="AT39" i="2"/>
  <c r="AT26" i="2"/>
  <c r="AT14" i="2"/>
  <c r="AT72" i="2"/>
  <c r="AT61" i="2"/>
  <c r="AT47" i="2"/>
  <c r="AT34" i="2"/>
  <c r="AT22" i="2"/>
  <c r="AT8" i="2"/>
  <c r="AT74" i="2"/>
  <c r="AT48" i="2"/>
  <c r="AT23" i="2"/>
  <c r="AT71" i="2"/>
  <c r="AT46" i="2"/>
  <c r="AT21" i="2"/>
  <c r="AT70" i="2"/>
  <c r="AT45" i="2"/>
  <c r="AT18" i="2"/>
  <c r="AT62" i="2"/>
  <c r="AT37" i="2"/>
  <c r="AT10" i="2"/>
  <c r="AT58" i="2"/>
  <c r="AT32" i="2"/>
  <c r="AT7" i="2"/>
  <c r="AT77" i="2"/>
  <c r="AT50" i="2"/>
  <c r="AT24" i="2"/>
  <c r="AT63" i="2"/>
  <c r="AT56" i="2"/>
  <c r="AT38" i="2"/>
  <c r="AT31" i="2"/>
  <c r="AT13" i="2"/>
  <c r="AT6" i="2"/>
  <c r="AS3" i="2"/>
  <c r="AS76" i="2"/>
  <c r="AS68" i="2"/>
  <c r="AS60" i="2"/>
  <c r="AS52" i="2"/>
  <c r="AS44" i="2"/>
  <c r="AS36" i="2"/>
  <c r="AS28" i="2"/>
  <c r="AS20" i="2"/>
  <c r="AS12" i="2"/>
  <c r="AS4" i="2"/>
  <c r="AS71" i="2"/>
  <c r="AS63" i="2"/>
  <c r="AS55" i="2"/>
  <c r="AS47" i="2"/>
  <c r="AS39" i="2"/>
  <c r="AS31" i="2"/>
  <c r="AS23" i="2"/>
  <c r="AS15" i="2"/>
  <c r="AS7" i="2"/>
  <c r="AS78" i="2"/>
  <c r="AS70" i="2"/>
  <c r="AS62" i="2"/>
  <c r="AS54" i="2"/>
  <c r="AS46" i="2"/>
  <c r="AS38" i="2"/>
  <c r="AS30" i="2"/>
  <c r="AS22" i="2"/>
  <c r="AS14" i="2"/>
  <c r="AS6" i="2"/>
  <c r="AS66" i="2"/>
  <c r="AS53" i="2"/>
  <c r="AS41" i="2"/>
  <c r="AS27" i="2"/>
  <c r="AS16" i="2"/>
  <c r="AS77" i="2"/>
  <c r="AS65" i="2"/>
  <c r="AS51" i="2"/>
  <c r="AS40" i="2"/>
  <c r="AS26" i="2"/>
  <c r="AS13" i="2"/>
  <c r="AS75" i="2"/>
  <c r="AS64" i="2"/>
  <c r="AS50" i="2"/>
  <c r="AS37" i="2"/>
  <c r="AS25" i="2"/>
  <c r="AS11" i="2"/>
  <c r="AS72" i="2"/>
  <c r="AS58" i="2"/>
  <c r="AS45" i="2"/>
  <c r="AS33" i="2"/>
  <c r="AS19" i="2"/>
  <c r="AS8" i="2"/>
  <c r="AS73" i="2"/>
  <c r="AS48" i="2"/>
  <c r="AS21" i="2"/>
  <c r="AS69" i="2"/>
  <c r="AS43" i="2"/>
  <c r="AS18" i="2"/>
  <c r="AS67" i="2"/>
  <c r="AS42" i="2"/>
  <c r="AS17" i="2"/>
  <c r="AS59" i="2"/>
  <c r="AS34" i="2"/>
  <c r="AS9" i="2"/>
  <c r="AS57" i="2"/>
  <c r="AS32" i="2"/>
  <c r="AS5" i="2"/>
  <c r="AS74" i="2"/>
  <c r="AS49" i="2"/>
  <c r="AS24" i="2"/>
  <c r="AS56" i="2"/>
  <c r="AS35" i="2"/>
  <c r="AS29" i="2"/>
  <c r="AS10" i="2"/>
  <c r="AS61" i="2"/>
  <c r="AQ3" i="2"/>
  <c r="AQ74" i="2"/>
  <c r="AQ66" i="2"/>
  <c r="AQ58" i="2"/>
  <c r="AQ50" i="2"/>
  <c r="AQ42" i="2"/>
  <c r="AQ34" i="2"/>
  <c r="AQ26" i="2"/>
  <c r="AQ18" i="2"/>
  <c r="AQ77" i="2"/>
  <c r="AQ69" i="2"/>
  <c r="AQ61" i="2"/>
  <c r="AQ53" i="2"/>
  <c r="AQ45" i="2"/>
  <c r="AQ37" i="2"/>
  <c r="AQ29" i="2"/>
  <c r="AQ76" i="2"/>
  <c r="AQ68" i="2"/>
  <c r="AQ60" i="2"/>
  <c r="AQ52" i="2"/>
  <c r="AQ44" i="2"/>
  <c r="AQ36" i="2"/>
  <c r="AQ28" i="2"/>
  <c r="AQ75" i="2"/>
  <c r="AQ63" i="2"/>
  <c r="AQ49" i="2"/>
  <c r="AQ38" i="2"/>
  <c r="AQ24" i="2"/>
  <c r="AQ15" i="2"/>
  <c r="AQ7" i="2"/>
  <c r="AQ73" i="2"/>
  <c r="AQ62" i="2"/>
  <c r="AQ48" i="2"/>
  <c r="AQ35" i="2"/>
  <c r="AQ23" i="2"/>
  <c r="AQ14" i="2"/>
  <c r="AQ6" i="2"/>
  <c r="AQ72" i="2"/>
  <c r="AQ59" i="2"/>
  <c r="AQ47" i="2"/>
  <c r="AQ33" i="2"/>
  <c r="AQ22" i="2"/>
  <c r="AQ13" i="2"/>
  <c r="AQ5" i="2"/>
  <c r="AQ67" i="2"/>
  <c r="AQ55" i="2"/>
  <c r="AQ41" i="2"/>
  <c r="AQ30" i="2"/>
  <c r="AQ19" i="2"/>
  <c r="AQ10" i="2"/>
  <c r="AQ70" i="2"/>
  <c r="AQ43" i="2"/>
  <c r="AQ20" i="2"/>
  <c r="AQ65" i="2"/>
  <c r="AQ40" i="2"/>
  <c r="AQ17" i="2"/>
  <c r="AQ64" i="2"/>
  <c r="AQ39" i="2"/>
  <c r="AQ16" i="2"/>
  <c r="AQ56" i="2"/>
  <c r="AQ31" i="2"/>
  <c r="AQ11" i="2"/>
  <c r="AQ54" i="2"/>
  <c r="AQ27" i="2"/>
  <c r="AQ9" i="2"/>
  <c r="AQ71" i="2"/>
  <c r="AQ46" i="2"/>
  <c r="AQ21" i="2"/>
  <c r="AQ4" i="2"/>
  <c r="AQ8" i="2"/>
  <c r="AQ78" i="2"/>
  <c r="AQ57" i="2"/>
  <c r="AQ51" i="2"/>
  <c r="AQ32" i="2"/>
  <c r="AQ25" i="2"/>
  <c r="AQ12" i="2"/>
  <c r="AA3" i="2"/>
  <c r="AC3" i="2" s="1"/>
  <c r="AD3" i="2" s="1"/>
  <c r="AA75" i="2"/>
  <c r="AA71" i="2"/>
  <c r="AA67" i="2"/>
  <c r="AA63" i="2"/>
  <c r="AC63" i="2" s="1"/>
  <c r="AA59" i="2"/>
  <c r="AC59" i="2" s="1"/>
  <c r="AA55" i="2"/>
  <c r="AA51" i="2"/>
  <c r="AA47" i="2"/>
  <c r="AA43" i="2"/>
  <c r="AA39" i="2"/>
  <c r="AA35" i="2"/>
  <c r="AA31" i="2"/>
  <c r="AA27" i="2"/>
  <c r="AC27" i="2" s="1"/>
  <c r="AA23" i="2"/>
  <c r="AC23" i="2" s="1"/>
  <c r="AA19" i="2"/>
  <c r="AA15" i="2"/>
  <c r="AA11" i="2"/>
  <c r="AA7" i="2"/>
  <c r="AB78" i="2"/>
  <c r="AB74" i="2"/>
  <c r="AB70" i="2"/>
  <c r="AB66" i="2"/>
  <c r="AB62" i="2"/>
  <c r="AB58" i="2"/>
  <c r="AB54" i="2"/>
  <c r="AB50" i="2"/>
  <c r="AB46" i="2"/>
  <c r="AB42" i="2"/>
  <c r="AB38" i="2"/>
  <c r="AB34" i="2"/>
  <c r="AB30" i="2"/>
  <c r="AB26" i="2"/>
  <c r="AB22" i="2"/>
  <c r="AB18" i="2"/>
  <c r="AB14" i="2"/>
  <c r="AB10" i="2"/>
  <c r="AB6" i="2"/>
  <c r="AA78" i="2"/>
  <c r="AC78" i="2" s="1"/>
  <c r="AA74" i="2"/>
  <c r="AA70" i="2"/>
  <c r="AC70" i="2" s="1"/>
  <c r="AA66" i="2"/>
  <c r="AC66" i="2" s="1"/>
  <c r="AA62" i="2"/>
  <c r="AA58" i="2"/>
  <c r="AC58" i="2" s="1"/>
  <c r="AA54" i="2"/>
  <c r="AA50" i="2"/>
  <c r="AA46" i="2"/>
  <c r="AA42" i="2"/>
  <c r="AA38" i="2"/>
  <c r="AC38" i="2" s="1"/>
  <c r="AA34" i="2"/>
  <c r="AA30" i="2"/>
  <c r="AC30" i="2" s="1"/>
  <c r="AA26" i="2"/>
  <c r="AA22" i="2"/>
  <c r="AA18" i="2"/>
  <c r="AA14" i="2"/>
  <c r="AA10" i="2"/>
  <c r="AA6" i="2"/>
  <c r="AB77" i="2"/>
  <c r="AB73" i="2"/>
  <c r="AB69" i="2"/>
  <c r="AB65" i="2"/>
  <c r="AB61" i="2"/>
  <c r="AB57" i="2"/>
  <c r="AB53" i="2"/>
  <c r="AB49" i="2"/>
  <c r="AB45" i="2"/>
  <c r="AB41" i="2"/>
  <c r="AB37" i="2"/>
  <c r="AB33" i="2"/>
  <c r="AB29" i="2"/>
  <c r="AB25" i="2"/>
  <c r="AB21" i="2"/>
  <c r="AB17" i="2"/>
  <c r="AB13" i="2"/>
  <c r="AB9" i="2"/>
  <c r="AB5" i="2"/>
  <c r="AA77" i="2"/>
  <c r="AA73" i="2"/>
  <c r="AA69" i="2"/>
  <c r="AA65" i="2"/>
  <c r="AA61" i="2"/>
  <c r="AA57" i="2"/>
  <c r="AA53" i="2"/>
  <c r="AA49" i="2"/>
  <c r="AA45" i="2"/>
  <c r="AA41" i="2"/>
  <c r="AA37" i="2"/>
  <c r="AA33" i="2"/>
  <c r="AA29" i="2"/>
  <c r="AC29" i="2" s="1"/>
  <c r="AA25" i="2"/>
  <c r="AC25" i="2" s="1"/>
  <c r="AA21" i="2"/>
  <c r="AC21" i="2" s="1"/>
  <c r="AA17" i="2"/>
  <c r="AA13" i="2"/>
  <c r="AA9" i="2"/>
  <c r="AC9" i="2" s="1"/>
  <c r="AA5" i="2"/>
  <c r="AC5" i="2" s="1"/>
  <c r="AB76" i="2"/>
  <c r="AB72" i="2"/>
  <c r="AB68" i="2"/>
  <c r="AB64" i="2"/>
  <c r="AB60" i="2"/>
  <c r="AB56" i="2"/>
  <c r="AB52" i="2"/>
  <c r="AB48" i="2"/>
  <c r="AB44" i="2"/>
  <c r="AB40" i="2"/>
  <c r="AB36" i="2"/>
  <c r="AB32" i="2"/>
  <c r="AB28" i="2"/>
  <c r="AB24" i="2"/>
  <c r="AB20" i="2"/>
  <c r="AB16" i="2"/>
  <c r="AB12" i="2"/>
  <c r="AB8" i="2"/>
  <c r="AB4" i="2"/>
  <c r="AA68" i="2"/>
  <c r="AA52" i="2"/>
  <c r="AA36" i="2"/>
  <c r="AA20" i="2"/>
  <c r="AA4" i="2"/>
  <c r="AC4" i="2" s="1"/>
  <c r="AB67" i="2"/>
  <c r="AB51" i="2"/>
  <c r="AB35" i="2"/>
  <c r="AB19" i="2"/>
  <c r="AB3" i="2"/>
  <c r="AA64" i="2"/>
  <c r="AA48" i="2"/>
  <c r="AA32" i="2"/>
  <c r="AA16" i="2"/>
  <c r="AB63" i="2"/>
  <c r="AB47" i="2"/>
  <c r="AB31" i="2"/>
  <c r="AB15" i="2"/>
  <c r="AA76" i="2"/>
  <c r="AA60" i="2"/>
  <c r="AA44" i="2"/>
  <c r="AA28" i="2"/>
  <c r="AC28" i="2" s="1"/>
  <c r="AA12" i="2"/>
  <c r="AB75" i="2"/>
  <c r="AB59" i="2"/>
  <c r="AB43" i="2"/>
  <c r="AB27" i="2"/>
  <c r="AB11" i="2"/>
  <c r="AA72" i="2"/>
  <c r="AA56" i="2"/>
  <c r="AA40" i="2"/>
  <c r="AA24" i="2"/>
  <c r="AC24" i="2" s="1"/>
  <c r="AA8" i="2"/>
  <c r="AB55" i="2"/>
  <c r="AB39" i="2"/>
  <c r="AB23" i="2"/>
  <c r="AB7" i="2"/>
  <c r="AB71" i="2"/>
  <c r="AP3" i="2" a="1"/>
  <c r="AM3" i="2"/>
  <c r="AO3" i="2" s="1" a="1"/>
  <c r="AN75" i="2"/>
  <c r="AN71" i="2"/>
  <c r="AN67" i="2"/>
  <c r="AN63" i="2"/>
  <c r="AN59" i="2"/>
  <c r="AN55" i="2"/>
  <c r="AN51" i="2"/>
  <c r="AN47" i="2"/>
  <c r="AN43" i="2"/>
  <c r="AN39" i="2"/>
  <c r="AN35" i="2"/>
  <c r="AN31" i="2"/>
  <c r="AN27" i="2"/>
  <c r="AN23" i="2"/>
  <c r="AN19" i="2"/>
  <c r="AN15" i="2"/>
  <c r="AN11" i="2"/>
  <c r="AN7" i="2"/>
  <c r="AN3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N78" i="2"/>
  <c r="AN74" i="2"/>
  <c r="AN70" i="2"/>
  <c r="AN66" i="2"/>
  <c r="AN62" i="2"/>
  <c r="AN58" i="2"/>
  <c r="AN54" i="2"/>
  <c r="AN50" i="2"/>
  <c r="AN46" i="2"/>
  <c r="AN42" i="2"/>
  <c r="AN38" i="2"/>
  <c r="AN34" i="2"/>
  <c r="AN30" i="2"/>
  <c r="AN26" i="2"/>
  <c r="AN22" i="2"/>
  <c r="AN18" i="2"/>
  <c r="AN14" i="2"/>
  <c r="AN10" i="2"/>
  <c r="AN6" i="2"/>
  <c r="AM77" i="2"/>
  <c r="AM73" i="2"/>
  <c r="AM69" i="2"/>
  <c r="AM65" i="2"/>
  <c r="AM61" i="2"/>
  <c r="AM57" i="2"/>
  <c r="AM53" i="2"/>
  <c r="AM49" i="2"/>
  <c r="AM45" i="2"/>
  <c r="AM41" i="2"/>
  <c r="AN73" i="2"/>
  <c r="AN65" i="2"/>
  <c r="AN57" i="2"/>
  <c r="AN49" i="2"/>
  <c r="AN41" i="2"/>
  <c r="AM34" i="2"/>
  <c r="AN28" i="2"/>
  <c r="AN21" i="2"/>
  <c r="AM16" i="2"/>
  <c r="AM9" i="2"/>
  <c r="AN72" i="2"/>
  <c r="AN64" i="2"/>
  <c r="AN56" i="2"/>
  <c r="AN48" i="2"/>
  <c r="AN40" i="2"/>
  <c r="AN33" i="2"/>
  <c r="AM28" i="2"/>
  <c r="AM21" i="2"/>
  <c r="AM14" i="2"/>
  <c r="AN8" i="2"/>
  <c r="AM72" i="2"/>
  <c r="AM64" i="2"/>
  <c r="AM56" i="2"/>
  <c r="AM48" i="2"/>
  <c r="AM40" i="2"/>
  <c r="AM33" i="2"/>
  <c r="AM26" i="2"/>
  <c r="AN20" i="2"/>
  <c r="AN13" i="2"/>
  <c r="AM8" i="2"/>
  <c r="AN77" i="2"/>
  <c r="AN69" i="2"/>
  <c r="AN61" i="2"/>
  <c r="AN53" i="2"/>
  <c r="AN45" i="2"/>
  <c r="AN37" i="2"/>
  <c r="AM32" i="2"/>
  <c r="AM25" i="2"/>
  <c r="AM18" i="2"/>
  <c r="AN12" i="2"/>
  <c r="AN5" i="2"/>
  <c r="AN76" i="2"/>
  <c r="AN68" i="2"/>
  <c r="AN60" i="2"/>
  <c r="AN52" i="2"/>
  <c r="AN44" i="2"/>
  <c r="AM37" i="2"/>
  <c r="AM30" i="2"/>
  <c r="AN24" i="2"/>
  <c r="AN17" i="2"/>
  <c r="AM12" i="2"/>
  <c r="AM5" i="2"/>
  <c r="AM74" i="2"/>
  <c r="AM66" i="2"/>
  <c r="AM58" i="2"/>
  <c r="AM50" i="2"/>
  <c r="AM42" i="2"/>
  <c r="AM36" i="2"/>
  <c r="AM29" i="2"/>
  <c r="AM22" i="2"/>
  <c r="AN16" i="2"/>
  <c r="AN9" i="2"/>
  <c r="AM4" i="2"/>
  <c r="AM60" i="2"/>
  <c r="AN29" i="2"/>
  <c r="AN4" i="2"/>
  <c r="AM54" i="2"/>
  <c r="AN25" i="2"/>
  <c r="AM52" i="2"/>
  <c r="AM24" i="2"/>
  <c r="AM78" i="2"/>
  <c r="AM46" i="2"/>
  <c r="AM20" i="2"/>
  <c r="AM76" i="2"/>
  <c r="AM44" i="2"/>
  <c r="AM17" i="2"/>
  <c r="AM70" i="2"/>
  <c r="AM38" i="2"/>
  <c r="AM13" i="2"/>
  <c r="AM10" i="2"/>
  <c r="AM6" i="2"/>
  <c r="AM68" i="2"/>
  <c r="AM62" i="2"/>
  <c r="AN36" i="2"/>
  <c r="AN32" i="2"/>
  <c r="AD4" i="2" l="1"/>
  <c r="AE3" i="2" s="1"/>
  <c r="AD59" i="2"/>
  <c r="AD9" i="2"/>
  <c r="AO3" i="2"/>
  <c r="AO77" i="2"/>
  <c r="AO69" i="2"/>
  <c r="AO61" i="2"/>
  <c r="AO53" i="2"/>
  <c r="AO45" i="2"/>
  <c r="AO37" i="2"/>
  <c r="AO29" i="2"/>
  <c r="AO21" i="2"/>
  <c r="AO13" i="2"/>
  <c r="AO5" i="2"/>
  <c r="AO76" i="2"/>
  <c r="AO68" i="2"/>
  <c r="AO60" i="2"/>
  <c r="AO52" i="2"/>
  <c r="AO44" i="2"/>
  <c r="AO36" i="2"/>
  <c r="AO28" i="2"/>
  <c r="AO20" i="2"/>
  <c r="AO12" i="2"/>
  <c r="AO4" i="2"/>
  <c r="AO75" i="2"/>
  <c r="AO67" i="2"/>
  <c r="AO59" i="2"/>
  <c r="AO51" i="2"/>
  <c r="AO43" i="2"/>
  <c r="AO35" i="2"/>
  <c r="AO27" i="2"/>
  <c r="AO19" i="2"/>
  <c r="AO11" i="2"/>
  <c r="AO72" i="2"/>
  <c r="AO64" i="2"/>
  <c r="AO56" i="2"/>
  <c r="AO48" i="2"/>
  <c r="AO40" i="2"/>
  <c r="AO32" i="2"/>
  <c r="AO24" i="2"/>
  <c r="AO16" i="2"/>
  <c r="AO8" i="2"/>
  <c r="AO73" i="2"/>
  <c r="AO57" i="2"/>
  <c r="AO41" i="2"/>
  <c r="AO25" i="2"/>
  <c r="AO9" i="2"/>
  <c r="AO71" i="2"/>
  <c r="AO55" i="2"/>
  <c r="AO39" i="2"/>
  <c r="AO23" i="2"/>
  <c r="AO7" i="2"/>
  <c r="AO70" i="2"/>
  <c r="AO54" i="2"/>
  <c r="AO38" i="2"/>
  <c r="AO22" i="2"/>
  <c r="AO6" i="2"/>
  <c r="AO65" i="2"/>
  <c r="AO49" i="2"/>
  <c r="AO33" i="2"/>
  <c r="AO17" i="2"/>
  <c r="AO63" i="2"/>
  <c r="AO47" i="2"/>
  <c r="AO31" i="2"/>
  <c r="AO15" i="2"/>
  <c r="AO74" i="2"/>
  <c r="AO58" i="2"/>
  <c r="AO42" i="2"/>
  <c r="AO26" i="2"/>
  <c r="AO10" i="2"/>
  <c r="AO30" i="2"/>
  <c r="AO18" i="2"/>
  <c r="AO78" i="2"/>
  <c r="AO14" i="2"/>
  <c r="AO66" i="2"/>
  <c r="AO62" i="2"/>
  <c r="AO50" i="2"/>
  <c r="AO46" i="2"/>
  <c r="AO34" i="2"/>
  <c r="AC43" i="2"/>
  <c r="AD43" i="2" s="1"/>
  <c r="AC52" i="2"/>
  <c r="AD52" i="2" s="1"/>
  <c r="AC17" i="2"/>
  <c r="AD17" i="2" s="1"/>
  <c r="AC49" i="2"/>
  <c r="AD49" i="2" s="1"/>
  <c r="AC26" i="2"/>
  <c r="AD26" i="2" s="1"/>
  <c r="AC35" i="2"/>
  <c r="AD35" i="2" s="1"/>
  <c r="AC67" i="2"/>
  <c r="AD67" i="2" s="1"/>
  <c r="AC68" i="2"/>
  <c r="AD68" i="2" s="1"/>
  <c r="AC53" i="2"/>
  <c r="AD53" i="2" s="1"/>
  <c r="AC62" i="2"/>
  <c r="AD62" i="2" s="1"/>
  <c r="AC7" i="2"/>
  <c r="AD7" i="2" s="1"/>
  <c r="AC39" i="2"/>
  <c r="AD39" i="2" s="1"/>
  <c r="AC71" i="2"/>
  <c r="AD71" i="2" s="1"/>
  <c r="AP3" i="2"/>
  <c r="AP74" i="2"/>
  <c r="AP66" i="2"/>
  <c r="AP58" i="2"/>
  <c r="AP50" i="2"/>
  <c r="AP42" i="2"/>
  <c r="AP34" i="2"/>
  <c r="AP26" i="2"/>
  <c r="AP18" i="2"/>
  <c r="AP10" i="2"/>
  <c r="AP73" i="2"/>
  <c r="AP65" i="2"/>
  <c r="AP57" i="2"/>
  <c r="AP49" i="2"/>
  <c r="AP41" i="2"/>
  <c r="AP33" i="2"/>
  <c r="AP25" i="2"/>
  <c r="AP17" i="2"/>
  <c r="AP9" i="2"/>
  <c r="AP72" i="2"/>
  <c r="AP64" i="2"/>
  <c r="AP56" i="2"/>
  <c r="AP48" i="2"/>
  <c r="AP40" i="2"/>
  <c r="AP32" i="2"/>
  <c r="AP24" i="2"/>
  <c r="AP16" i="2"/>
  <c r="AP8" i="2"/>
  <c r="AP77" i="2"/>
  <c r="AP69" i="2"/>
  <c r="AP61" i="2"/>
  <c r="AP53" i="2"/>
  <c r="AP45" i="2"/>
  <c r="AP37" i="2"/>
  <c r="AP29" i="2"/>
  <c r="AP21" i="2"/>
  <c r="AP13" i="2"/>
  <c r="AP5" i="2"/>
  <c r="AP78" i="2"/>
  <c r="AP62" i="2"/>
  <c r="AP46" i="2"/>
  <c r="AP30" i="2"/>
  <c r="AP14" i="2"/>
  <c r="AP76" i="2"/>
  <c r="AP60" i="2"/>
  <c r="AP44" i="2"/>
  <c r="AP28" i="2"/>
  <c r="AP12" i="2"/>
  <c r="AP75" i="2"/>
  <c r="AP59" i="2"/>
  <c r="AP43" i="2"/>
  <c r="AP27" i="2"/>
  <c r="AP11" i="2"/>
  <c r="AP70" i="2"/>
  <c r="AP54" i="2"/>
  <c r="AP38" i="2"/>
  <c r="AP22" i="2"/>
  <c r="AP6" i="2"/>
  <c r="AP68" i="2"/>
  <c r="AP52" i="2"/>
  <c r="AP36" i="2"/>
  <c r="AP20" i="2"/>
  <c r="AP4" i="2"/>
  <c r="AP63" i="2"/>
  <c r="AP47" i="2"/>
  <c r="AP31" i="2"/>
  <c r="AP15" i="2"/>
  <c r="AP19" i="2"/>
  <c r="AP71" i="2"/>
  <c r="AP7" i="2"/>
  <c r="AP67" i="2"/>
  <c r="AP55" i="2"/>
  <c r="AP51" i="2"/>
  <c r="AP39" i="2"/>
  <c r="AP35" i="2"/>
  <c r="AP23" i="2"/>
  <c r="AC40" i="2"/>
  <c r="AD40" i="2" s="1"/>
  <c r="AC12" i="2"/>
  <c r="AD12" i="2" s="1"/>
  <c r="AC61" i="2"/>
  <c r="AD61" i="2" s="1"/>
  <c r="AC6" i="2"/>
  <c r="AD6" i="2" s="1"/>
  <c r="AC15" i="2"/>
  <c r="AD15" i="2" s="1"/>
  <c r="AC47" i="2"/>
  <c r="AD47" i="2" s="1"/>
  <c r="AC72" i="2"/>
  <c r="AC64" i="2" s="1"/>
  <c r="AC60" i="2" s="1"/>
  <c r="AC46" i="2" s="1"/>
  <c r="AC36" i="2" s="1"/>
  <c r="AC8" i="2" s="1"/>
  <c r="AC57" i="2" s="1"/>
  <c r="AD57" i="2" s="1"/>
  <c r="AC16" i="2"/>
  <c r="AD16" i="2" s="1"/>
  <c r="AC33" i="2"/>
  <c r="AD33" i="2" s="1"/>
  <c r="AC65" i="2"/>
  <c r="AD65" i="2" s="1"/>
  <c r="AC10" i="2"/>
  <c r="AD10" i="2" s="1"/>
  <c r="AC42" i="2"/>
  <c r="AD42" i="2" s="1"/>
  <c r="AC74" i="2"/>
  <c r="AD74" i="2" s="1"/>
  <c r="AC19" i="2"/>
  <c r="AD19" i="2" s="1"/>
  <c r="AC51" i="2"/>
  <c r="AD51" i="2" s="1"/>
  <c r="AC56" i="2"/>
  <c r="AD56" i="2" s="1"/>
  <c r="AC44" i="2"/>
  <c r="AD44" i="2" s="1"/>
  <c r="AC32" i="2"/>
  <c r="AD32" i="2" s="1"/>
  <c r="AD5" i="2"/>
  <c r="AC37" i="2"/>
  <c r="AD37" i="2" s="1"/>
  <c r="AC69" i="2"/>
  <c r="AD69" i="2" s="1"/>
  <c r="AC14" i="2"/>
  <c r="AD14" i="2" s="1"/>
  <c r="AD78" i="2"/>
  <c r="AD79" i="2"/>
  <c r="AC55" i="2"/>
  <c r="AD55" i="2" s="1"/>
  <c r="AC34" i="2"/>
  <c r="AD34" i="2" s="1"/>
  <c r="AC11" i="2"/>
  <c r="AD11" i="2" s="1"/>
  <c r="AC75" i="2"/>
  <c r="AD75" i="2" s="1"/>
  <c r="AC48" i="2"/>
  <c r="AD48" i="2" s="1"/>
  <c r="AC20" i="2"/>
  <c r="AD20" i="2" s="1"/>
  <c r="AC41" i="2"/>
  <c r="AD41" i="2" s="1"/>
  <c r="AC73" i="2"/>
  <c r="AD73" i="2" s="1"/>
  <c r="AC18" i="2"/>
  <c r="AD18" i="2" s="1"/>
  <c r="AC50" i="2"/>
  <c r="AD50" i="2" s="1"/>
  <c r="AC76" i="2"/>
  <c r="AD76" i="2" s="1"/>
  <c r="AC13" i="2"/>
  <c r="AD13" i="2" s="1"/>
  <c r="AC45" i="2"/>
  <c r="AD45" i="2" s="1"/>
  <c r="AC77" i="2"/>
  <c r="AD77" i="2" s="1"/>
  <c r="AC22" i="2"/>
  <c r="AD22" i="2" s="1"/>
  <c r="AC54" i="2"/>
  <c r="AD54" i="2" s="1"/>
  <c r="AC31" i="2"/>
  <c r="AD31" i="2" s="1"/>
  <c r="AE76" i="2" l="1"/>
  <c r="AD36" i="2"/>
  <c r="AE35" i="2" s="1"/>
  <c r="AD64" i="2"/>
  <c r="AE64" i="2" s="1"/>
  <c r="AE5" i="2"/>
  <c r="AD8" i="2"/>
  <c r="AE8" i="2" s="1"/>
  <c r="AE34" i="2"/>
  <c r="AE74" i="2"/>
  <c r="AE12" i="2"/>
  <c r="AE17" i="2"/>
  <c r="AE47" i="2"/>
  <c r="AD60" i="2"/>
  <c r="AE59" i="2" s="1"/>
  <c r="AE67" i="2"/>
  <c r="AE50" i="2"/>
  <c r="AE73" i="2"/>
  <c r="AE32" i="2"/>
  <c r="AE6" i="2"/>
  <c r="AE75" i="2"/>
  <c r="AD46" i="2"/>
  <c r="AE46" i="2" s="1"/>
  <c r="AE14" i="2"/>
  <c r="AD72" i="2"/>
  <c r="AE72" i="2" s="1"/>
  <c r="AE48" i="2"/>
  <c r="AE49" i="2"/>
  <c r="AD58" i="2"/>
  <c r="AE58" i="2" s="1"/>
  <c r="AD21" i="2"/>
  <c r="AE21" i="2" s="1"/>
  <c r="AE54" i="2"/>
  <c r="AE55" i="2"/>
  <c r="AE41" i="2"/>
  <c r="AE15" i="2"/>
  <c r="AE16" i="2"/>
  <c r="AE42" i="2"/>
  <c r="AE43" i="2"/>
  <c r="AE19" i="2"/>
  <c r="AD66" i="2"/>
  <c r="AE66" i="2" s="1"/>
  <c r="AE78" i="2"/>
  <c r="AF3" i="2" s="1" a="1"/>
  <c r="AD80" i="2"/>
  <c r="AE11" i="2"/>
  <c r="AE77" i="2"/>
  <c r="AD63" i="2"/>
  <c r="AE18" i="2"/>
  <c r="AE4" i="2"/>
  <c r="AE52" i="2"/>
  <c r="AE56" i="2"/>
  <c r="AD23" i="2"/>
  <c r="AE22" i="2" s="1"/>
  <c r="AE61" i="2"/>
  <c r="AD70" i="2"/>
  <c r="AE70" i="2" s="1"/>
  <c r="AE9" i="2"/>
  <c r="AE10" i="2"/>
  <c r="AE40" i="2"/>
  <c r="AE39" i="2"/>
  <c r="AE68" i="2"/>
  <c r="AE13" i="2"/>
  <c r="AE33" i="2"/>
  <c r="AD27" i="2"/>
  <c r="AE26" i="2" s="1"/>
  <c r="AE31" i="2"/>
  <c r="AE44" i="2"/>
  <c r="AE51" i="2"/>
  <c r="AE53" i="2"/>
  <c r="AD38" i="2"/>
  <c r="AE38" i="2" s="1"/>
  <c r="AE45" i="2" l="1"/>
  <c r="AE36" i="2"/>
  <c r="AE60" i="2"/>
  <c r="AE63" i="2"/>
  <c r="AE7" i="2"/>
  <c r="AE71" i="2"/>
  <c r="AE69" i="2"/>
  <c r="AE65" i="2"/>
  <c r="AE37" i="2"/>
  <c r="AE20" i="2"/>
  <c r="AE79" i="2"/>
  <c r="AD81" i="2"/>
  <c r="AE57" i="2"/>
  <c r="AF3" i="2"/>
  <c r="AG3" i="2" s="1" a="1"/>
  <c r="AF76" i="2"/>
  <c r="AF68" i="2"/>
  <c r="AF60" i="2"/>
  <c r="AF52" i="2"/>
  <c r="AF44" i="2"/>
  <c r="AF36" i="2"/>
  <c r="AF28" i="2"/>
  <c r="AF20" i="2"/>
  <c r="AF12" i="2"/>
  <c r="AF4" i="2"/>
  <c r="AF75" i="2"/>
  <c r="AF67" i="2"/>
  <c r="AF59" i="2"/>
  <c r="AF51" i="2"/>
  <c r="AF43" i="2"/>
  <c r="AF35" i="2"/>
  <c r="AF27" i="2"/>
  <c r="AF19" i="2"/>
  <c r="AF11" i="2"/>
  <c r="AF74" i="2"/>
  <c r="AF66" i="2"/>
  <c r="AF58" i="2"/>
  <c r="AF50" i="2"/>
  <c r="AF42" i="2"/>
  <c r="AF34" i="2"/>
  <c r="AF26" i="2"/>
  <c r="AF18" i="2"/>
  <c r="AF10" i="2"/>
  <c r="AF73" i="2"/>
  <c r="AF65" i="2"/>
  <c r="AF57" i="2"/>
  <c r="AF49" i="2"/>
  <c r="AF41" i="2"/>
  <c r="AF33" i="2"/>
  <c r="AF25" i="2"/>
  <c r="AF17" i="2"/>
  <c r="AF9" i="2"/>
  <c r="AF72" i="2"/>
  <c r="AF64" i="2"/>
  <c r="AF56" i="2"/>
  <c r="AF48" i="2"/>
  <c r="AF40" i="2"/>
  <c r="AF32" i="2"/>
  <c r="AF24" i="2"/>
  <c r="AF16" i="2"/>
  <c r="AF8" i="2"/>
  <c r="AF71" i="2"/>
  <c r="AF63" i="2"/>
  <c r="AF55" i="2"/>
  <c r="AF47" i="2"/>
  <c r="AF39" i="2"/>
  <c r="AF31" i="2"/>
  <c r="AF23" i="2"/>
  <c r="AF15" i="2"/>
  <c r="AF7" i="2"/>
  <c r="AF78" i="2"/>
  <c r="AF46" i="2"/>
  <c r="AF14" i="2"/>
  <c r="AF77" i="2"/>
  <c r="AF45" i="2"/>
  <c r="AF13" i="2"/>
  <c r="AF70" i="2"/>
  <c r="AF38" i="2"/>
  <c r="AF6" i="2"/>
  <c r="AF69" i="2"/>
  <c r="AF37" i="2"/>
  <c r="AF5" i="2"/>
  <c r="AF62" i="2"/>
  <c r="AF30" i="2"/>
  <c r="AF61" i="2"/>
  <c r="AF29" i="2"/>
  <c r="AF54" i="2"/>
  <c r="AF22" i="2"/>
  <c r="AF53" i="2"/>
  <c r="AF21" i="2"/>
  <c r="AD28" i="2"/>
  <c r="AE27" i="2" s="1"/>
  <c r="AE62" i="2"/>
  <c r="AD24" i="2"/>
  <c r="AE23" i="2" s="1"/>
  <c r="AG3" i="2" l="1"/>
  <c r="AI3" i="2" s="1" a="1"/>
  <c r="AH76" i="2"/>
  <c r="AH72" i="2"/>
  <c r="AH68" i="2"/>
  <c r="AH64" i="2"/>
  <c r="AH60" i="2"/>
  <c r="AH56" i="2"/>
  <c r="AG76" i="2"/>
  <c r="AG72" i="2"/>
  <c r="AG68" i="2"/>
  <c r="AG64" i="2"/>
  <c r="AG60" i="2"/>
  <c r="AG56" i="2"/>
  <c r="AH75" i="2"/>
  <c r="AH71" i="2"/>
  <c r="AH67" i="2"/>
  <c r="AH63" i="2"/>
  <c r="AH59" i="2"/>
  <c r="AH78" i="2"/>
  <c r="AH74" i="2"/>
  <c r="AH70" i="2"/>
  <c r="AH66" i="2"/>
  <c r="AH62" i="2"/>
  <c r="AH58" i="2"/>
  <c r="AG78" i="2"/>
  <c r="AG74" i="2"/>
  <c r="AG70" i="2"/>
  <c r="AG66" i="2"/>
  <c r="AG62" i="2"/>
  <c r="AG58" i="2"/>
  <c r="AG77" i="2"/>
  <c r="AG73" i="2"/>
  <c r="AG69" i="2"/>
  <c r="AG65" i="2"/>
  <c r="AG61" i="2"/>
  <c r="AG57" i="2"/>
  <c r="AH65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AG63" i="2"/>
  <c r="AH53" i="2"/>
  <c r="AH49" i="2"/>
  <c r="AH45" i="2"/>
  <c r="AH41" i="2"/>
  <c r="AH37" i="2"/>
  <c r="AH33" i="2"/>
  <c r="AH29" i="2"/>
  <c r="AH25" i="2"/>
  <c r="AH21" i="2"/>
  <c r="AH17" i="2"/>
  <c r="AH13" i="2"/>
  <c r="AH9" i="2"/>
  <c r="AH5" i="2"/>
  <c r="AH77" i="2"/>
  <c r="AH61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AG75" i="2"/>
  <c r="AG59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H73" i="2"/>
  <c r="AH57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AG4" i="2"/>
  <c r="AG71" i="2"/>
  <c r="AH55" i="2"/>
  <c r="AH51" i="2"/>
  <c r="AH47" i="2"/>
  <c r="AH43" i="2"/>
  <c r="AH39" i="2"/>
  <c r="AH35" i="2"/>
  <c r="AH31" i="2"/>
  <c r="AH27" i="2"/>
  <c r="AH23" i="2"/>
  <c r="AH19" i="2"/>
  <c r="AH15" i="2"/>
  <c r="AH11" i="2"/>
  <c r="AH7" i="2"/>
  <c r="AH3" i="2"/>
  <c r="AG51" i="2"/>
  <c r="AG35" i="2"/>
  <c r="AG19" i="2"/>
  <c r="AH50" i="2"/>
  <c r="AH34" i="2"/>
  <c r="AH18" i="2"/>
  <c r="AG47" i="2"/>
  <c r="AG31" i="2"/>
  <c r="AG15" i="2"/>
  <c r="AH46" i="2"/>
  <c r="AH30" i="2"/>
  <c r="AH14" i="2"/>
  <c r="AH69" i="2"/>
  <c r="AG43" i="2"/>
  <c r="AG27" i="2"/>
  <c r="AG11" i="2"/>
  <c r="AG67" i="2"/>
  <c r="AH42" i="2"/>
  <c r="AH26" i="2"/>
  <c r="AH10" i="2"/>
  <c r="AG55" i="2"/>
  <c r="AG39" i="2"/>
  <c r="AG23" i="2"/>
  <c r="AG7" i="2"/>
  <c r="AH54" i="2"/>
  <c r="AH38" i="2"/>
  <c r="AH22" i="2"/>
  <c r="AH6" i="2"/>
  <c r="AE80" i="2"/>
  <c r="AD82" i="2"/>
  <c r="AD25" i="2"/>
  <c r="AE25" i="2" s="1"/>
  <c r="AD29" i="2"/>
  <c r="AD30" i="2" s="1"/>
  <c r="AE28" i="2" l="1"/>
  <c r="AE24" i="2"/>
  <c r="AE29" i="2"/>
  <c r="AE30" i="2"/>
  <c r="AE81" i="2"/>
  <c r="AD83" i="2"/>
  <c r="AI3" i="2"/>
  <c r="AL3" i="2" s="1" a="1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AI21" i="2"/>
  <c r="AI17" i="2"/>
  <c r="AI13" i="2"/>
  <c r="AI9" i="2"/>
  <c r="AI5" i="2"/>
  <c r="AJ76" i="2"/>
  <c r="AJ72" i="2"/>
  <c r="AJ68" i="2"/>
  <c r="AJ64" i="2"/>
  <c r="AJ60" i="2"/>
  <c r="AJ56" i="2"/>
  <c r="AJ52" i="2"/>
  <c r="AJ48" i="2"/>
  <c r="AJ44" i="2"/>
  <c r="AJ40" i="2"/>
  <c r="AJ36" i="2"/>
  <c r="AJ32" i="2"/>
  <c r="AJ28" i="2"/>
  <c r="AJ24" i="2"/>
  <c r="AJ20" i="2"/>
  <c r="AJ16" i="2"/>
  <c r="AJ12" i="2"/>
  <c r="AJ8" i="2"/>
  <c r="AJ4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4" i="2"/>
  <c r="AI20" i="2"/>
  <c r="AI16" i="2"/>
  <c r="AI12" i="2"/>
  <c r="AI8" i="2"/>
  <c r="AI4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1" i="2"/>
  <c r="AI7" i="2"/>
  <c r="AJ78" i="2"/>
  <c r="AJ74" i="2"/>
  <c r="AJ70" i="2"/>
  <c r="AJ66" i="2"/>
  <c r="AJ62" i="2"/>
  <c r="AJ58" i="2"/>
  <c r="AJ54" i="2"/>
  <c r="AJ50" i="2"/>
  <c r="AJ46" i="2"/>
  <c r="AJ42" i="2"/>
  <c r="AJ38" i="2"/>
  <c r="AJ34" i="2"/>
  <c r="AJ30" i="2"/>
  <c r="AJ26" i="2"/>
  <c r="AJ22" i="2"/>
  <c r="AJ18" i="2"/>
  <c r="AJ14" i="2"/>
  <c r="AJ10" i="2"/>
  <c r="AJ6" i="2"/>
  <c r="AJ77" i="2"/>
  <c r="AJ73" i="2"/>
  <c r="AJ69" i="2"/>
  <c r="AJ65" i="2"/>
  <c r="AJ61" i="2"/>
  <c r="AJ57" i="2"/>
  <c r="AJ53" i="2"/>
  <c r="AJ49" i="2"/>
  <c r="AJ45" i="2"/>
  <c r="AJ41" i="2"/>
  <c r="AJ37" i="2"/>
  <c r="AJ33" i="2"/>
  <c r="AJ29" i="2"/>
  <c r="AJ25" i="2"/>
  <c r="AJ21" i="2"/>
  <c r="AJ17" i="2"/>
  <c r="AJ13" i="2"/>
  <c r="AJ9" i="2"/>
  <c r="AJ5" i="2"/>
  <c r="AI70" i="2"/>
  <c r="AI54" i="2"/>
  <c r="AI38" i="2"/>
  <c r="AI22" i="2"/>
  <c r="AI6" i="2"/>
  <c r="AJ67" i="2"/>
  <c r="AJ51" i="2"/>
  <c r="AJ35" i="2"/>
  <c r="AJ19" i="2"/>
  <c r="AJ3" i="2"/>
  <c r="AI66" i="2"/>
  <c r="AI50" i="2"/>
  <c r="AI34" i="2"/>
  <c r="AI18" i="2"/>
  <c r="AJ63" i="2"/>
  <c r="AJ47" i="2"/>
  <c r="AJ31" i="2"/>
  <c r="AJ15" i="2"/>
  <c r="AI78" i="2"/>
  <c r="AI62" i="2"/>
  <c r="AI46" i="2"/>
  <c r="AI30" i="2"/>
  <c r="AI14" i="2"/>
  <c r="AJ75" i="2"/>
  <c r="AJ59" i="2"/>
  <c r="AJ43" i="2"/>
  <c r="AJ27" i="2"/>
  <c r="AJ11" i="2"/>
  <c r="AI26" i="2"/>
  <c r="AJ23" i="2"/>
  <c r="AI74" i="2"/>
  <c r="AI10" i="2"/>
  <c r="AJ71" i="2"/>
  <c r="AJ7" i="2"/>
  <c r="AI58" i="2"/>
  <c r="AJ55" i="2"/>
  <c r="AI42" i="2"/>
  <c r="AJ39" i="2"/>
  <c r="AL3" i="2" l="1"/>
  <c r="AL71" i="2"/>
  <c r="AL63" i="2"/>
  <c r="AL55" i="2"/>
  <c r="AL78" i="2"/>
  <c r="AL70" i="2"/>
  <c r="AL62" i="2"/>
  <c r="AL77" i="2"/>
  <c r="AL69" i="2"/>
  <c r="AL61" i="2"/>
  <c r="AL76" i="2"/>
  <c r="AL65" i="2"/>
  <c r="AL53" i="2"/>
  <c r="AL45" i="2"/>
  <c r="AL37" i="2"/>
  <c r="AL29" i="2"/>
  <c r="AL21" i="2"/>
  <c r="AL13" i="2"/>
  <c r="AL5" i="2"/>
  <c r="AL75" i="2"/>
  <c r="AL64" i="2"/>
  <c r="AL52" i="2"/>
  <c r="AL44" i="2"/>
  <c r="AL36" i="2"/>
  <c r="AL28" i="2"/>
  <c r="AL20" i="2"/>
  <c r="AL12" i="2"/>
  <c r="AL4" i="2"/>
  <c r="AL74" i="2"/>
  <c r="AL60" i="2"/>
  <c r="AL51" i="2"/>
  <c r="AL43" i="2"/>
  <c r="AL35" i="2"/>
  <c r="AL27" i="2"/>
  <c r="AL19" i="2"/>
  <c r="AL11" i="2"/>
  <c r="AL72" i="2"/>
  <c r="AL58" i="2"/>
  <c r="AL49" i="2"/>
  <c r="AL41" i="2"/>
  <c r="AL33" i="2"/>
  <c r="AL25" i="2"/>
  <c r="AL17" i="2"/>
  <c r="AL9" i="2"/>
  <c r="AL68" i="2"/>
  <c r="AL57" i="2"/>
  <c r="AL48" i="2"/>
  <c r="AL40" i="2"/>
  <c r="AL32" i="2"/>
  <c r="AL24" i="2"/>
  <c r="AL16" i="2"/>
  <c r="AL8" i="2"/>
  <c r="AL66" i="2"/>
  <c r="AL54" i="2"/>
  <c r="AL46" i="2"/>
  <c r="AL38" i="2"/>
  <c r="AL30" i="2"/>
  <c r="AL22" i="2"/>
  <c r="AL14" i="2"/>
  <c r="AL6" i="2"/>
  <c r="AL39" i="2"/>
  <c r="AL7" i="2"/>
  <c r="AL73" i="2"/>
  <c r="AL34" i="2"/>
  <c r="AL67" i="2"/>
  <c r="AL31" i="2"/>
  <c r="AL59" i="2"/>
  <c r="AL26" i="2"/>
  <c r="AL56" i="2"/>
  <c r="AL23" i="2"/>
  <c r="AL50" i="2"/>
  <c r="AL18" i="2"/>
  <c r="AL47" i="2"/>
  <c r="AL42" i="2"/>
  <c r="AL15" i="2"/>
  <c r="AL10" i="2"/>
  <c r="AE82" i="2"/>
  <c r="AD84" i="2"/>
  <c r="AE83" i="2" l="1"/>
  <c r="AD85" i="2"/>
  <c r="AE84" i="2" l="1"/>
  <c r="AD86" i="2"/>
  <c r="AE85" i="2" s="1"/>
  <c r="AD87" i="2" l="1"/>
  <c r="AD88" i="2" l="1"/>
  <c r="AE86" i="2"/>
  <c r="AD89" i="2" l="1"/>
  <c r="AE88" i="2" s="1"/>
  <c r="AE87" i="2"/>
  <c r="AD90" i="2" l="1"/>
  <c r="AE89" i="2" s="1"/>
  <c r="AD91" i="2" l="1"/>
  <c r="AD92" i="2" l="1"/>
  <c r="AE90" i="2"/>
  <c r="AD93" i="2" l="1"/>
  <c r="AE92" i="2" s="1"/>
  <c r="AE91" i="2"/>
  <c r="AD94" i="2" l="1"/>
  <c r="AE93" i="2" s="1"/>
  <c r="AD95" i="2" l="1"/>
  <c r="AE94" i="2" s="1"/>
  <c r="AD96" i="2" l="1"/>
  <c r="AE95" i="2" s="1"/>
  <c r="AD97" i="2" l="1"/>
  <c r="AE96" i="2" s="1"/>
  <c r="AD98" i="2" l="1"/>
  <c r="AE97" i="2" s="1"/>
  <c r="AD99" i="2" l="1"/>
  <c r="AE98" i="2" s="1"/>
  <c r="AD100" i="2" l="1"/>
  <c r="AE99" i="2" s="1"/>
  <c r="AD101" i="2" l="1"/>
  <c r="AD102" i="2" l="1"/>
  <c r="AE101" i="2" s="1"/>
  <c r="AE100" i="2"/>
  <c r="AD103" i="2" l="1"/>
  <c r="AE102" i="2" s="1"/>
  <c r="AD104" i="2" l="1"/>
  <c r="AE103" i="2" s="1"/>
  <c r="AD105" i="2" l="1"/>
  <c r="AE104" i="2" s="1"/>
  <c r="AD106" i="2" l="1"/>
  <c r="AE105" i="2" s="1"/>
  <c r="AD107" i="2" l="1"/>
  <c r="AE106" i="2" s="1"/>
  <c r="AD108" i="2" l="1"/>
  <c r="AE107" i="2" s="1"/>
  <c r="AD109" i="2" l="1"/>
  <c r="AE108" i="2" s="1"/>
  <c r="AD110" i="2" l="1"/>
  <c r="AE109" i="2" s="1"/>
  <c r="AD111" i="2" l="1"/>
  <c r="AE110" i="2" s="1"/>
  <c r="AD112" i="2" l="1"/>
  <c r="AD113" i="2" l="1"/>
  <c r="AE112" i="2" s="1"/>
  <c r="AE111" i="2"/>
  <c r="AD114" i="2" l="1"/>
  <c r="AE113" i="2" s="1"/>
  <c r="AD115" i="2" l="1"/>
  <c r="AE114" i="2" s="1"/>
  <c r="AD116" i="2" l="1"/>
  <c r="AE115" i="2" s="1"/>
  <c r="AD117" i="2" l="1"/>
  <c r="AE116" i="2" s="1"/>
  <c r="AD118" i="2" l="1"/>
  <c r="AE117" i="2" s="1"/>
  <c r="AD119" i="2" l="1"/>
  <c r="AE118" i="2" s="1"/>
  <c r="AD120" i="2" l="1"/>
  <c r="AD121" i="2" l="1"/>
  <c r="AE120" i="2" s="1"/>
  <c r="AE119" i="2"/>
  <c r="AD122" i="2" l="1"/>
  <c r="AE121" i="2" s="1"/>
  <c r="AD123" i="2" l="1"/>
  <c r="AE122" i="2" s="1"/>
  <c r="AD124" i="2" l="1"/>
  <c r="AE123" i="2" s="1"/>
  <c r="AD125" i="2" l="1"/>
  <c r="AD126" i="2" l="1"/>
  <c r="AE125" i="2" s="1"/>
  <c r="AE124" i="2"/>
  <c r="AD127" i="2" l="1"/>
  <c r="AE126" i="2" s="1"/>
  <c r="AD128" i="2" l="1"/>
  <c r="AE127" i="2" s="1"/>
  <c r="AD129" i="2" l="1"/>
  <c r="AE128" i="2" s="1"/>
  <c r="AD130" i="2" l="1"/>
  <c r="AE129" i="2" s="1"/>
  <c r="AD131" i="2" l="1"/>
  <c r="AE130" i="2" s="1"/>
  <c r="AD132" i="2" l="1"/>
  <c r="AD133" i="2" l="1"/>
  <c r="AE132" i="2" s="1"/>
  <c r="AE131" i="2"/>
  <c r="AD134" i="2" l="1"/>
  <c r="AE133" i="2" s="1"/>
  <c r="AD135" i="2" l="1"/>
  <c r="AE134" i="2" s="1"/>
  <c r="AD136" i="2" l="1"/>
  <c r="AE135" i="2" s="1"/>
  <c r="AD137" i="2" l="1"/>
  <c r="AD138" i="2" l="1"/>
  <c r="AE137" i="2" s="1"/>
  <c r="AE136" i="2"/>
  <c r="AD139" i="2" l="1"/>
  <c r="AE138" i="2" s="1"/>
  <c r="AD140" i="2" l="1"/>
  <c r="AD141" i="2" l="1"/>
  <c r="AE140" i="2" s="1"/>
  <c r="AE139" i="2"/>
  <c r="AD142" i="2" l="1"/>
  <c r="AE141" i="2" s="1"/>
  <c r="AD143" i="2" l="1"/>
  <c r="AD144" i="2" l="1"/>
  <c r="AE142" i="2"/>
  <c r="AD145" i="2" l="1"/>
  <c r="AE144" i="2" s="1"/>
  <c r="AE143" i="2"/>
  <c r="AD146" i="2" l="1"/>
  <c r="AE145" i="2" s="1"/>
  <c r="AD147" i="2" l="1"/>
  <c r="AE146" i="2" s="1"/>
  <c r="AD148" i="2" l="1"/>
  <c r="AE147" i="2" s="1"/>
  <c r="AD149" i="2" l="1"/>
  <c r="AE148" i="2" s="1"/>
  <c r="AD150" i="2" l="1"/>
  <c r="AE149" i="2" s="1"/>
  <c r="AD151" i="2" l="1"/>
  <c r="AE150" i="2" s="1"/>
  <c r="AD152" i="2" l="1"/>
  <c r="AE151" i="2" s="1"/>
  <c r="AD153" i="2" l="1"/>
  <c r="AE152" i="2" s="1"/>
  <c r="AD154" i="2" l="1"/>
  <c r="AE153" i="2" s="1"/>
  <c r="AD155" i="2" l="1"/>
  <c r="AD156" i="2" l="1"/>
  <c r="AE155" i="2" s="1"/>
  <c r="AE154" i="2"/>
  <c r="AD157" i="2" l="1"/>
  <c r="AE156" i="2" s="1"/>
  <c r="AD158" i="2" l="1"/>
  <c r="AE157" i="2" s="1"/>
  <c r="AD159" i="2" l="1"/>
  <c r="AE158" i="2" s="1"/>
  <c r="AD160" i="2" l="1"/>
  <c r="AE159" i="2" s="1"/>
  <c r="AD161" i="2" l="1"/>
  <c r="AE160" i="2" s="1"/>
  <c r="AD162" i="2" l="1"/>
  <c r="AE161" i="2" s="1"/>
  <c r="AD163" i="2" l="1"/>
  <c r="AE162" i="2" s="1"/>
  <c r="AD164" i="2" l="1"/>
  <c r="AD165" i="2" l="1"/>
  <c r="AE164" i="2" s="1"/>
  <c r="AE163" i="2"/>
  <c r="AD166" i="2" l="1"/>
  <c r="AD167" i="2" l="1"/>
  <c r="AE165" i="2"/>
  <c r="AD168" i="2" l="1"/>
  <c r="AE167" i="2" s="1"/>
  <c r="AE166" i="2"/>
  <c r="AD169" i="2" l="1"/>
  <c r="AE168" i="2" s="1"/>
  <c r="AD170" i="2" l="1"/>
  <c r="AE169" i="2" s="1"/>
  <c r="AD171" i="2" l="1"/>
  <c r="AE170" i="2" s="1"/>
  <c r="AD172" i="2" l="1"/>
  <c r="AE171" i="2" s="1"/>
  <c r="AD173" i="2" l="1"/>
  <c r="AE172" i="2" s="1"/>
  <c r="AD174" i="2" l="1"/>
  <c r="AE173" i="2" s="1"/>
  <c r="AD175" i="2" l="1"/>
  <c r="AE174" i="2" s="1"/>
  <c r="AD176" i="2" l="1"/>
  <c r="AE175" i="2" s="1"/>
  <c r="AD177" i="2" l="1"/>
  <c r="AE176" i="2" s="1"/>
  <c r="AD178" i="2" l="1"/>
  <c r="AE177" i="2" s="1"/>
  <c r="AD179" i="2" l="1"/>
  <c r="AE178" i="2" s="1"/>
  <c r="AD180" i="2" l="1"/>
  <c r="AE179" i="2" s="1"/>
  <c r="AD181" i="2" l="1"/>
  <c r="AD182" i="2" l="1"/>
  <c r="AE181" i="2" s="1"/>
  <c r="AE180" i="2"/>
  <c r="AD183" i="2" l="1"/>
  <c r="AE182" i="2" s="1"/>
  <c r="AD184" i="2" l="1"/>
  <c r="AE183" i="2" s="1"/>
  <c r="AD185" i="2" l="1"/>
  <c r="AE184" i="2" s="1"/>
  <c r="AD186" i="2" l="1"/>
  <c r="AE185" i="2" s="1"/>
  <c r="AD187" i="2" l="1"/>
  <c r="AE186" i="2" s="1"/>
  <c r="AD188" i="2" l="1"/>
  <c r="AE187" i="2" s="1"/>
  <c r="AD189" i="2" l="1"/>
  <c r="AE188" i="2" s="1"/>
  <c r="AD190" i="2" l="1"/>
  <c r="AE189" i="2" s="1"/>
  <c r="AD191" i="2" l="1"/>
  <c r="AE190" i="2" s="1"/>
  <c r="AD192" i="2" l="1"/>
  <c r="AE191" i="2" s="1"/>
  <c r="AD193" i="2" l="1"/>
  <c r="AE192" i="2" s="1"/>
  <c r="AD194" i="2" l="1"/>
  <c r="AE193" i="2" s="1"/>
  <c r="AD195" i="2" l="1"/>
  <c r="AE194" i="2" s="1"/>
  <c r="AD196" i="2" l="1"/>
  <c r="AE195" i="2" s="1"/>
  <c r="AD197" i="2" l="1"/>
  <c r="AE196" i="2" s="1"/>
  <c r="AD198" i="2" l="1"/>
  <c r="AE197" i="2" s="1"/>
  <c r="AD199" i="2" l="1"/>
  <c r="AE198" i="2" s="1"/>
  <c r="AD200" i="2" l="1"/>
  <c r="AE199" i="2" s="1"/>
  <c r="AD201" i="2" l="1"/>
  <c r="AE200" i="2" s="1"/>
  <c r="AD202" i="2" l="1"/>
  <c r="AE201" i="2" s="1"/>
  <c r="AD203" i="2" l="1"/>
  <c r="AE203" i="2" s="1"/>
  <c r="AE20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tc={F0509C55-E293-4DF1-8E1D-A3B0F04E3A94}</author>
    <author>tc={66FF0FE5-8231-4392-8391-9111595D8B59}</author>
    <author>tc={F0D94E37-A959-43B2-9DCF-5FA2B89B18F4}</author>
  </authors>
  <commentList>
    <comment ref="C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tem algo preenchido no número de patrimônio, mas não é um número inteiro (ex: tem um texto no meio como "1234-5" ou "IPT 1234")</t>
        </r>
      </text>
    </comment>
    <comment ref="C5" authorId="1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mas tem um número inteiro preenchido para o número de patrimônio </t>
        </r>
      </text>
    </comment>
    <comment ref="C6" authorId="2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Tem Cod_auto_raster, o sistema de patrimônio não tá preenchido e o número de patrimônio também não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tc={82EA8C68-4CDE-42BD-A94E-C10937CE19E7}</author>
    <author>tc={ECA778FD-69CE-4A2F-94A4-8F8CBA6B0E10}</author>
  </authors>
  <commentList>
    <comment ref="D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as colunas marcadas com preto vão atualizar automaticamente se alterar esse número, mas as em laranja tem que dar o duplo-clique para ele autocompletar se aumentar o número</t>
        </r>
      </text>
    </comment>
    <comment ref="D2" authorId="1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da esquerda para a direita:
1) tipo está vazio
2) sigla está vazia
3) tipo está duplicado
4) sigla está duplicada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<sst xmlns="http://schemas.openxmlformats.org/spreadsheetml/2006/main" count="6949" uniqueCount="2591">
  <si>
    <t>Lab</t>
  </si>
  <si>
    <t>Predio</t>
  </si>
  <si>
    <t>Sala</t>
  </si>
  <si>
    <t>Apelido</t>
  </si>
  <si>
    <t>Tipo</t>
  </si>
  <si>
    <t>Cod_auto_raster</t>
  </si>
  <si>
    <t>Fabricante</t>
  </si>
  <si>
    <t>Moeda</t>
  </si>
  <si>
    <t>Custo de aquisição</t>
  </si>
  <si>
    <t>Agência financiadora</t>
  </si>
  <si>
    <t>Responsável</t>
  </si>
  <si>
    <t>Potência elétrica</t>
  </si>
  <si>
    <t>Unidade potencia elétrica</t>
  </si>
  <si>
    <t>Tensão elétrica minima (V)</t>
  </si>
  <si>
    <t>Tensão elétrica máxima (V)</t>
  </si>
  <si>
    <t>Detalhe da alimentação elétrica (bivolt, trifásico, etc)</t>
  </si>
  <si>
    <t>Outras alimentações (ar, água, etc)</t>
  </si>
  <si>
    <t>Modelo</t>
  </si>
  <si>
    <t>Spec1</t>
  </si>
  <si>
    <t>Unidade Spec1</t>
  </si>
  <si>
    <t>Spec2</t>
  </si>
  <si>
    <t>Unidade Spec2</t>
  </si>
  <si>
    <t>Nacionalidade</t>
  </si>
  <si>
    <t>Condição Equipamento</t>
  </si>
  <si>
    <t>Data Atualização</t>
  </si>
  <si>
    <t>OBS</t>
  </si>
  <si>
    <t>LPM</t>
  </si>
  <si>
    <t>Depósito</t>
  </si>
  <si>
    <t>maquina de solda prodelec</t>
  </si>
  <si>
    <t>Solda</t>
  </si>
  <si>
    <t>LPM21SO001</t>
  </si>
  <si>
    <t>prodelec</t>
  </si>
  <si>
    <t>francisco</t>
  </si>
  <si>
    <t>kVA</t>
  </si>
  <si>
    <t>GS 575 NM 80</t>
  </si>
  <si>
    <t>016854/25688</t>
  </si>
  <si>
    <t>solda</t>
  </si>
  <si>
    <t>guardada no P.21, funcionando antes da mudança</t>
  </si>
  <si>
    <t>possui manual</t>
  </si>
  <si>
    <t>esmeril bambozzi</t>
  </si>
  <si>
    <t>Ferramentas</t>
  </si>
  <si>
    <t>LPM21FE002</t>
  </si>
  <si>
    <t>bambozzi</t>
  </si>
  <si>
    <t>CV</t>
  </si>
  <si>
    <t>21330</t>
  </si>
  <si>
    <t>esmeril</t>
  </si>
  <si>
    <t>guardado no P.21, estava funcionando antes da udança</t>
  </si>
  <si>
    <t>não possui manual</t>
  </si>
  <si>
    <t>torno maquinas cruzeiro</t>
  </si>
  <si>
    <t>LPM21FE001</t>
  </si>
  <si>
    <t>sanches blaine</t>
  </si>
  <si>
    <t>modelo C</t>
  </si>
  <si>
    <t>012128/10424/10425</t>
  </si>
  <si>
    <t>torno</t>
  </si>
  <si>
    <t>guardado no P.21, funcionando antes da mudança</t>
  </si>
  <si>
    <t>cortadeira de chapas tesourão</t>
  </si>
  <si>
    <t>Cortadeira</t>
  </si>
  <si>
    <t>LPM21CT001</t>
  </si>
  <si>
    <t>newton</t>
  </si>
  <si>
    <t>TP-1</t>
  </si>
  <si>
    <t>21341</t>
  </si>
  <si>
    <t>corte de chapas</t>
  </si>
  <si>
    <t>Galpão de Aglomeração - Fundos</t>
  </si>
  <si>
    <t>Queimador</t>
  </si>
  <si>
    <t>Outros</t>
  </si>
  <si>
    <t>LPM10XX015</t>
  </si>
  <si>
    <t>Grion</t>
  </si>
  <si>
    <t>Filipe</t>
  </si>
  <si>
    <t>cv</t>
  </si>
  <si>
    <t>Trifásico</t>
  </si>
  <si>
    <t>Gás</t>
  </si>
  <si>
    <t>400000 kw - kcal</t>
  </si>
  <si>
    <t>IPT geral</t>
  </si>
  <si>
    <t>18859</t>
  </si>
  <si>
    <t>Aquecer o secador rotativo</t>
  </si>
  <si>
    <t>Em funcionamento</t>
  </si>
  <si>
    <t>LPM10XX016</t>
  </si>
  <si>
    <t>Galpão de cominuição</t>
  </si>
  <si>
    <t>Espessador</t>
  </si>
  <si>
    <t>LPM10XX014</t>
  </si>
  <si>
    <t>Denver</t>
  </si>
  <si>
    <t>Jefferson</t>
  </si>
  <si>
    <t>48"X36" Lab. Thickener</t>
  </si>
  <si>
    <t>Norte Americano</t>
  </si>
  <si>
    <t>Ativo IPT</t>
  </si>
  <si>
    <t>FIPT geral</t>
  </si>
  <si>
    <t>6635</t>
  </si>
  <si>
    <t>Concentração por densidade - piloto</t>
  </si>
  <si>
    <t>Galpão de Aglomeração</t>
  </si>
  <si>
    <t>Tumbler test</t>
  </si>
  <si>
    <t>LPM10XX013</t>
  </si>
  <si>
    <t>6689</t>
  </si>
  <si>
    <t>Ensaios de tamboriamento de aglomerados</t>
  </si>
  <si>
    <t>Sala de ensaios</t>
  </si>
  <si>
    <t>Centrífuga</t>
  </si>
  <si>
    <t>LPM21XX001</t>
  </si>
  <si>
    <t>Kubota</t>
  </si>
  <si>
    <t>W</t>
  </si>
  <si>
    <t>Monofásico</t>
  </si>
  <si>
    <t>KS-3000P</t>
  </si>
  <si>
    <t>Japonesa</t>
  </si>
  <si>
    <t>JICA 1985</t>
  </si>
  <si>
    <t>35651</t>
  </si>
  <si>
    <t>Decantar partículas sólidas</t>
  </si>
  <si>
    <t>LPM10XX012</t>
  </si>
  <si>
    <t>Laboratório 03 - Caracterização de Aglomerados</t>
  </si>
  <si>
    <t>Pastilhadeira</t>
  </si>
  <si>
    <t>LPM10XX005</t>
  </si>
  <si>
    <t>Fabbe</t>
  </si>
  <si>
    <t>Matheus</t>
  </si>
  <si>
    <t>6670</t>
  </si>
  <si>
    <t>Produzir pastilhas</t>
  </si>
  <si>
    <t>Em manutenção</t>
  </si>
  <si>
    <t>LPM10XX011</t>
  </si>
  <si>
    <t>Laboratório 02 - Sala de Peneiras</t>
  </si>
  <si>
    <t>Câmara climática</t>
  </si>
  <si>
    <t>LPM10XX004</t>
  </si>
  <si>
    <t>Solab</t>
  </si>
  <si>
    <t>SL-206/300</t>
  </si>
  <si>
    <t>Brasileira</t>
  </si>
  <si>
    <t>Moderniza</t>
  </si>
  <si>
    <t>6685</t>
  </si>
  <si>
    <t xml:space="preserve">determinação de umidade crítica e relativa de materiais </t>
  </si>
  <si>
    <t>LPM10XX006</t>
  </si>
  <si>
    <t>Sala 09 - Ensaios de W.I.</t>
  </si>
  <si>
    <t>Autoclave vertical</t>
  </si>
  <si>
    <t>Quimis</t>
  </si>
  <si>
    <t>Q290M22</t>
  </si>
  <si>
    <t>6686</t>
  </si>
  <si>
    <t>Amolecimento de fibras</t>
  </si>
  <si>
    <t>Laboratório 01 - Flotação</t>
  </si>
  <si>
    <t>Mesa</t>
  </si>
  <si>
    <t>Porosimetro</t>
  </si>
  <si>
    <t>LPM10XX003</t>
  </si>
  <si>
    <t>Automática Tecnologia S. A.</t>
  </si>
  <si>
    <t>Francisco</t>
  </si>
  <si>
    <t>ATPAIP1266</t>
  </si>
  <si>
    <t>Medir a porosidade de pelotas de minério de ferro</t>
  </si>
  <si>
    <t>Sempre antes do uso</t>
  </si>
  <si>
    <t>Guardado dentro da bancada</t>
  </si>
  <si>
    <t>Etiquetaderia</t>
  </si>
  <si>
    <t>LPM10XX007</t>
  </si>
  <si>
    <t>Toledo</t>
  </si>
  <si>
    <t>3922</t>
  </si>
  <si>
    <t>Imprimir etiquetas de materiais pesados</t>
  </si>
  <si>
    <t>Fora de uso</t>
  </si>
  <si>
    <t>Bancada</t>
  </si>
  <si>
    <t>Zetâmetro</t>
  </si>
  <si>
    <t>LPM10XX002</t>
  </si>
  <si>
    <t>Malvern</t>
  </si>
  <si>
    <t>Zen 3600</t>
  </si>
  <si>
    <t>BNDES</t>
  </si>
  <si>
    <t>3904</t>
  </si>
  <si>
    <t>Determinação de granulometria e potencial zeta de nanopartículas</t>
  </si>
  <si>
    <t>Aguardando instalação</t>
  </si>
  <si>
    <t>Viscosimetro</t>
  </si>
  <si>
    <t>LPM10XX001</t>
  </si>
  <si>
    <t>Q860M26</t>
  </si>
  <si>
    <t>13120</t>
  </si>
  <si>
    <t>Medir viscosidade</t>
  </si>
  <si>
    <t>Faltando fonte de energia</t>
  </si>
  <si>
    <t>Ultra-som</t>
  </si>
  <si>
    <t>Ultrassom</t>
  </si>
  <si>
    <t>LPM10UL002</t>
  </si>
  <si>
    <t>Thorton</t>
  </si>
  <si>
    <t>T50</t>
  </si>
  <si>
    <t>lavagem de peneiras</t>
  </si>
  <si>
    <t>Em funcionametno</t>
  </si>
  <si>
    <t>LPM10UL001</t>
  </si>
  <si>
    <t>6675</t>
  </si>
  <si>
    <t>lavagem de bolas</t>
  </si>
  <si>
    <t xml:space="preserve">Transportador de correia </t>
  </si>
  <si>
    <t xml:space="preserve">Transportador </t>
  </si>
  <si>
    <t>LPM10TP001</t>
  </si>
  <si>
    <t>Imaster</t>
  </si>
  <si>
    <t>hp</t>
  </si>
  <si>
    <t>trifásico</t>
  </si>
  <si>
    <t>6639</t>
  </si>
  <si>
    <t>Transportar materiais para alimentação em alturas elevadas</t>
  </si>
  <si>
    <t>Sala 12 - Ensaios de concentração á seco</t>
  </si>
  <si>
    <t>Separador magnético isodinâmico</t>
  </si>
  <si>
    <t>Frantz</t>
  </si>
  <si>
    <t>Separador Magnético</t>
  </si>
  <si>
    <t>LPM10SM004</t>
  </si>
  <si>
    <t>L - 1</t>
  </si>
  <si>
    <t>16813</t>
  </si>
  <si>
    <t>Seapração por magnetismo</t>
  </si>
  <si>
    <t>Separador magnético a seco</t>
  </si>
  <si>
    <t>LPM10SM001</t>
  </si>
  <si>
    <t>Nippon</t>
  </si>
  <si>
    <t>NJ-G-30+30</t>
  </si>
  <si>
    <t>IPT red</t>
  </si>
  <si>
    <t>1553</t>
  </si>
  <si>
    <t>Separar materiais magnéticos</t>
  </si>
  <si>
    <t>LPM10SM003</t>
  </si>
  <si>
    <t>Sala 11 -  Ensaios de concentração á úmido</t>
  </si>
  <si>
    <t>Separador magnético a úmido de tambor</t>
  </si>
  <si>
    <t>Eriez</t>
  </si>
  <si>
    <t>kW</t>
  </si>
  <si>
    <t>L-8</t>
  </si>
  <si>
    <t>1555</t>
  </si>
  <si>
    <t>LPM10SM002</t>
  </si>
  <si>
    <t>Separador magnético a úmido de alta intensidade</t>
  </si>
  <si>
    <t>WLIMS</t>
  </si>
  <si>
    <t>1556</t>
  </si>
  <si>
    <t>Seladora de plásticos</t>
  </si>
  <si>
    <t>Seladora</t>
  </si>
  <si>
    <t>LPM10SL002</t>
  </si>
  <si>
    <t>Araújo Equipamentos</t>
  </si>
  <si>
    <t>3919</t>
  </si>
  <si>
    <t>selar amostras em sacos plásticos</t>
  </si>
  <si>
    <t>LPM10SL001</t>
  </si>
  <si>
    <t>Tecmaq</t>
  </si>
  <si>
    <t>AP450</t>
  </si>
  <si>
    <t>IPT</t>
  </si>
  <si>
    <t>IPT blue</t>
  </si>
  <si>
    <t>20627</t>
  </si>
  <si>
    <t>Selar amostras em sacos plásticos</t>
  </si>
  <si>
    <t>Separador eletrostático</t>
  </si>
  <si>
    <t>Separador Eletrostático</t>
  </si>
  <si>
    <t>LPM10SE001</t>
  </si>
  <si>
    <t>Carpco, Inc. Co.</t>
  </si>
  <si>
    <t>HT 111-15</t>
  </si>
  <si>
    <t>1552</t>
  </si>
  <si>
    <t>Separação por condutividade elétrica</t>
  </si>
  <si>
    <t>Mesa vibratória</t>
  </si>
  <si>
    <t>Separador Densitário</t>
  </si>
  <si>
    <t>LPM10SD003</t>
  </si>
  <si>
    <t>OTA Iron Works/Wilfley</t>
  </si>
  <si>
    <t>1000X450 250-450</t>
  </si>
  <si>
    <t>1558</t>
  </si>
  <si>
    <t>Separação de materiais por densidade</t>
  </si>
  <si>
    <t>Jigue</t>
  </si>
  <si>
    <t>LPM10SD002</t>
  </si>
  <si>
    <t>N/D</t>
  </si>
  <si>
    <t>HP</t>
  </si>
  <si>
    <t>4"x 6"</t>
  </si>
  <si>
    <t>RPM</t>
  </si>
  <si>
    <t>6856</t>
  </si>
  <si>
    <t>Concentração por densidade</t>
  </si>
  <si>
    <t>jigue</t>
  </si>
  <si>
    <t>LPM10SD001</t>
  </si>
  <si>
    <t>Deco</t>
  </si>
  <si>
    <t>H469A</t>
  </si>
  <si>
    <t>37187</t>
  </si>
  <si>
    <t>Secador rotativo</t>
  </si>
  <si>
    <t>Secador</t>
  </si>
  <si>
    <t>LPM10SC001</t>
  </si>
  <si>
    <t>Lippel</t>
  </si>
  <si>
    <t>18862</t>
  </si>
  <si>
    <t>Secagem de biomassas</t>
  </si>
  <si>
    <t>Copa</t>
  </si>
  <si>
    <t>Geladeira</t>
  </si>
  <si>
    <t>Refrigerador</t>
  </si>
  <si>
    <t>LPM10RE001</t>
  </si>
  <si>
    <t>Consul</t>
  </si>
  <si>
    <t>CBR39ABANA</t>
  </si>
  <si>
    <t>armazenamento e preservação de amostras e reagentes</t>
  </si>
  <si>
    <t>Em Funcionamento</t>
  </si>
  <si>
    <t>Mesanino</t>
  </si>
  <si>
    <t>Quarteador de amostras tipo Jones</t>
  </si>
  <si>
    <t>Quarteador</t>
  </si>
  <si>
    <t>LPM21QT001</t>
  </si>
  <si>
    <t>Kiya Seisakusho</t>
  </si>
  <si>
    <t>Vários</t>
  </si>
  <si>
    <t>36635</t>
  </si>
  <si>
    <t>Quartear amostras</t>
  </si>
  <si>
    <t>LPM10QT001</t>
  </si>
  <si>
    <t>LPM10PT001</t>
  </si>
  <si>
    <t>Neuberger</t>
  </si>
  <si>
    <t>6712</t>
  </si>
  <si>
    <t>Produzir copelas e pastilhas</t>
  </si>
  <si>
    <t>Prensa hidráulica</t>
  </si>
  <si>
    <t>Prensa</t>
  </si>
  <si>
    <t>LPM10PR002</t>
  </si>
  <si>
    <t>Ciola</t>
  </si>
  <si>
    <t>4CA -40M</t>
  </si>
  <si>
    <t>6669</t>
  </si>
  <si>
    <t>Produzir briquetes para ensaio</t>
  </si>
  <si>
    <t>LPM10PR003</t>
  </si>
  <si>
    <t xml:space="preserve">Máquina Universal de Ensaios </t>
  </si>
  <si>
    <t>LPM10PR001</t>
  </si>
  <si>
    <t>Shimadzu</t>
  </si>
  <si>
    <t>AGS-X</t>
  </si>
  <si>
    <t>Fapesp</t>
  </si>
  <si>
    <t>23520</t>
  </si>
  <si>
    <t>Avaliar resistência à compressão</t>
  </si>
  <si>
    <t>Vibrador de peneiras</t>
  </si>
  <si>
    <t>Peneira</t>
  </si>
  <si>
    <t>LPM10PN009</t>
  </si>
  <si>
    <t>Marconi</t>
  </si>
  <si>
    <t>Wattz</t>
  </si>
  <si>
    <t>MA 750</t>
  </si>
  <si>
    <t>6641</t>
  </si>
  <si>
    <t>Classificação granulométrica</t>
  </si>
  <si>
    <t>Peneira Vibratória 3 decK</t>
  </si>
  <si>
    <t>LPM10PN006</t>
  </si>
  <si>
    <t>Separação granulométrica</t>
  </si>
  <si>
    <t>Aguardando descarte</t>
  </si>
  <si>
    <t>Peneira rotativa via úmida - TROMMEL</t>
  </si>
  <si>
    <t>LPM10PN004</t>
  </si>
  <si>
    <t>6642</t>
  </si>
  <si>
    <t>Classificar materiais</t>
  </si>
  <si>
    <t>Peneira Redonda</t>
  </si>
  <si>
    <t>LPM10PN003</t>
  </si>
  <si>
    <t>6648</t>
  </si>
  <si>
    <t>Agitador de peneiras quadradas</t>
  </si>
  <si>
    <t>LPM10PN002</t>
  </si>
  <si>
    <t>Solo Test</t>
  </si>
  <si>
    <t>50x50</t>
  </si>
  <si>
    <t>Peneirar materiais volumosos</t>
  </si>
  <si>
    <t>Peneira Giratória</t>
  </si>
  <si>
    <t>LPM10PN001</t>
  </si>
  <si>
    <t>Tokujo Kosakusho</t>
  </si>
  <si>
    <t>GS-AIP-AM-Especial</t>
  </si>
  <si>
    <t>35643</t>
  </si>
  <si>
    <t>Peneirar materiais</t>
  </si>
  <si>
    <t>pHmetro</t>
  </si>
  <si>
    <t>Phmetro</t>
  </si>
  <si>
    <t>LPM10PH001</t>
  </si>
  <si>
    <t>Digmed</t>
  </si>
  <si>
    <t>VA</t>
  </si>
  <si>
    <t>DM-22</t>
  </si>
  <si>
    <t>3906</t>
  </si>
  <si>
    <t xml:space="preserve">Medir Ph   </t>
  </si>
  <si>
    <t>Sala 10 - Secagem</t>
  </si>
  <si>
    <t>Deionizador</t>
  </si>
  <si>
    <t>Purificador de Agua</t>
  </si>
  <si>
    <t>LPM10PA001</t>
  </si>
  <si>
    <t>Permution</t>
  </si>
  <si>
    <t>Água</t>
  </si>
  <si>
    <t>DE 1800 Evolution</t>
  </si>
  <si>
    <t>Deionizar a água</t>
  </si>
  <si>
    <t>Em Manutenção</t>
  </si>
  <si>
    <t>Misturador tipo galgas</t>
  </si>
  <si>
    <t>Misturador</t>
  </si>
  <si>
    <t>LPM10MT008</t>
  </si>
  <si>
    <t>Fungel</t>
  </si>
  <si>
    <t>ML-7</t>
  </si>
  <si>
    <t>6708</t>
  </si>
  <si>
    <t>Misturar materiais</t>
  </si>
  <si>
    <t>LPM10MT009</t>
  </si>
  <si>
    <t>Misturador tipo betoneira</t>
  </si>
  <si>
    <t>LPM10MT007</t>
  </si>
  <si>
    <t>Mecânica Nacional</t>
  </si>
  <si>
    <t>kg</t>
  </si>
  <si>
    <t>Misturar materiais (batelada)</t>
  </si>
  <si>
    <t>LPM10MT006</t>
  </si>
  <si>
    <t>Mecânica Alfa Ltda.</t>
  </si>
  <si>
    <t>35997</t>
  </si>
  <si>
    <t>Misturador Intensivo</t>
  </si>
  <si>
    <t>LPM10MT005</t>
  </si>
  <si>
    <t>Eirich</t>
  </si>
  <si>
    <t>R 7</t>
  </si>
  <si>
    <t>Alemã</t>
  </si>
  <si>
    <t>6706</t>
  </si>
  <si>
    <t>Misturar materiais diversos</t>
  </si>
  <si>
    <t>Rua</t>
  </si>
  <si>
    <t>LPM04MT001</t>
  </si>
  <si>
    <t>Simpson</t>
  </si>
  <si>
    <t>Omar</t>
  </si>
  <si>
    <t>05 F. FIXO</t>
  </si>
  <si>
    <t>Em processo de descarte</t>
  </si>
  <si>
    <t>LPM10MT004</t>
  </si>
  <si>
    <t>Misturador com aquecimento</t>
  </si>
  <si>
    <t>Renard</t>
  </si>
  <si>
    <t>MDP 300X201</t>
  </si>
  <si>
    <t>6695</t>
  </si>
  <si>
    <t>Misturar materiais com aquecimento</t>
  </si>
  <si>
    <t>Misturador/alimentador de polpa</t>
  </si>
  <si>
    <t>LPM10MT003</t>
  </si>
  <si>
    <t>ALP CO., LTD</t>
  </si>
  <si>
    <t>S 202</t>
  </si>
  <si>
    <t>37199</t>
  </si>
  <si>
    <t>alimentação de polpas aos equip.</t>
  </si>
  <si>
    <t>Misturador tipo "V"</t>
  </si>
  <si>
    <t>LPM10MT002</t>
  </si>
  <si>
    <t>VI-10</t>
  </si>
  <si>
    <t>1571</t>
  </si>
  <si>
    <t>Homogeneizar amostras</t>
  </si>
  <si>
    <t>LPM10MT001</t>
  </si>
  <si>
    <t>R02E</t>
  </si>
  <si>
    <t>6668</t>
  </si>
  <si>
    <t>Galpão Moagem</t>
  </si>
  <si>
    <t>Moinho de bolas**</t>
  </si>
  <si>
    <t>Moinho</t>
  </si>
  <si>
    <t>LPM10MO001</t>
  </si>
  <si>
    <t>50 kg/batelada</t>
  </si>
  <si>
    <t>Moer amostras</t>
  </si>
  <si>
    <t>LPM10MO018</t>
  </si>
  <si>
    <t>Item Repitido</t>
  </si>
  <si>
    <t>Moinho de Rolos</t>
  </si>
  <si>
    <t>LPM10MO017</t>
  </si>
  <si>
    <t>MRA 180 - 200</t>
  </si>
  <si>
    <t xml:space="preserve">Moinho de martelos </t>
  </si>
  <si>
    <t>LPM10MO016</t>
  </si>
  <si>
    <t>Tigre</t>
  </si>
  <si>
    <t>CE-31</t>
  </si>
  <si>
    <t>Picagem de biomassa e resíduos</t>
  </si>
  <si>
    <t>Moinho de martelos</t>
  </si>
  <si>
    <t>LPM10MO015</t>
  </si>
  <si>
    <t>R20E</t>
  </si>
  <si>
    <t>Moer minérios</t>
  </si>
  <si>
    <t>Moinho de jarro</t>
  </si>
  <si>
    <t>LPM10MO013</t>
  </si>
  <si>
    <t>4 jarros</t>
  </si>
  <si>
    <t>6644</t>
  </si>
  <si>
    <t>Moer materiais</t>
  </si>
  <si>
    <t>Moinho de Facas</t>
  </si>
  <si>
    <t>LPM10MO012</t>
  </si>
  <si>
    <t>Plastimax</t>
  </si>
  <si>
    <t>PM 250</t>
  </si>
  <si>
    <t>6656</t>
  </si>
  <si>
    <t>Moer materiais plásticos e biomassa</t>
  </si>
  <si>
    <t>LPM10MO011</t>
  </si>
  <si>
    <t>Moinho de Disco</t>
  </si>
  <si>
    <t>MSA 200</t>
  </si>
  <si>
    <t>6646</t>
  </si>
  <si>
    <t>Moagem de materiais</t>
  </si>
  <si>
    <t>LPM10MO010</t>
  </si>
  <si>
    <t>Planta piloto de moagem</t>
  </si>
  <si>
    <t>Moinho de Bolas</t>
  </si>
  <si>
    <t>16" x 16"</t>
  </si>
  <si>
    <t>LPM10MO009</t>
  </si>
  <si>
    <t>Faz parte da planta piloto de moagem</t>
  </si>
  <si>
    <t>Circuito de moagem a seco</t>
  </si>
  <si>
    <t>LPM10MO008</t>
  </si>
  <si>
    <t>kg/h</t>
  </si>
  <si>
    <t>Brasileiro</t>
  </si>
  <si>
    <t>6692</t>
  </si>
  <si>
    <t>Moer materiais a seco</t>
  </si>
  <si>
    <t>LPM10MO007</t>
  </si>
  <si>
    <t>Almofariz Mecânico</t>
  </si>
  <si>
    <t>Aichi Denki Kosakusho</t>
  </si>
  <si>
    <t>ANM-1000</t>
  </si>
  <si>
    <t>37495</t>
  </si>
  <si>
    <t>LPM10MO006</t>
  </si>
  <si>
    <t>Moinho de disco</t>
  </si>
  <si>
    <t>Yoshida Seisakusho</t>
  </si>
  <si>
    <t>1025-B</t>
  </si>
  <si>
    <t>1565</t>
  </si>
  <si>
    <t>Cominuição de materiais</t>
  </si>
  <si>
    <t>LPM10MO005</t>
  </si>
  <si>
    <t>Moinho de bolas/barras</t>
  </si>
  <si>
    <t>1138B</t>
  </si>
  <si>
    <t>1566</t>
  </si>
  <si>
    <t>LPM10MO004</t>
  </si>
  <si>
    <t>1140A</t>
  </si>
  <si>
    <t>1567</t>
  </si>
  <si>
    <t>LPM10MO003</t>
  </si>
  <si>
    <t>1568</t>
  </si>
  <si>
    <t>LPM10MO002</t>
  </si>
  <si>
    <t>Moinho de bolas (WI)</t>
  </si>
  <si>
    <t>Faço</t>
  </si>
  <si>
    <t>MBO 12"X12"</t>
  </si>
  <si>
    <t>6861</t>
  </si>
  <si>
    <t>Ensaios de moabilidade</t>
  </si>
  <si>
    <t>Lava-louças</t>
  </si>
  <si>
    <t>Lavadora</t>
  </si>
  <si>
    <t>LPM10LV001</t>
  </si>
  <si>
    <t>Futura</t>
  </si>
  <si>
    <t>Karcher K330MP</t>
  </si>
  <si>
    <t xml:space="preserve">Lavagem de vidrarias </t>
  </si>
  <si>
    <t>Mufla</t>
  </si>
  <si>
    <t>Forno</t>
  </si>
  <si>
    <t>LPM10FO003</t>
  </si>
  <si>
    <t>Jung</t>
  </si>
  <si>
    <t>FAPESP 2003</t>
  </si>
  <si>
    <t>6711</t>
  </si>
  <si>
    <t>Tratamento térmico de aglomerados</t>
  </si>
  <si>
    <t>Forno Mufla</t>
  </si>
  <si>
    <t>LPM10FO002</t>
  </si>
  <si>
    <t>Fortelab</t>
  </si>
  <si>
    <t>19136</t>
  </si>
  <si>
    <t>Ensaios Térmicos em Aglomerados</t>
  </si>
  <si>
    <t>LPM10FO001</t>
  </si>
  <si>
    <t>19135</t>
  </si>
  <si>
    <t>Filtro Prensa</t>
  </si>
  <si>
    <t>Filtro</t>
  </si>
  <si>
    <t>LPM10FI002</t>
  </si>
  <si>
    <t>Bombetec</t>
  </si>
  <si>
    <t>F.P.A. 5,3</t>
  </si>
  <si>
    <t>13638</t>
  </si>
  <si>
    <t>Desaguar polpas</t>
  </si>
  <si>
    <t>Filtro à vácuo</t>
  </si>
  <si>
    <t>LPM10FI001</t>
  </si>
  <si>
    <t>Sanwa Rikoh</t>
  </si>
  <si>
    <t>SN</t>
  </si>
  <si>
    <t>35655</t>
  </si>
  <si>
    <t>Secagem de materiais</t>
  </si>
  <si>
    <t>Estufa de secagem</t>
  </si>
  <si>
    <t>Estufa</t>
  </si>
  <si>
    <t>LPM10ET007</t>
  </si>
  <si>
    <t>Fanem</t>
  </si>
  <si>
    <t>320E MP</t>
  </si>
  <si>
    <t>6671</t>
  </si>
  <si>
    <t>LPM10ET008</t>
  </si>
  <si>
    <t>Estufa de secagem (nova)</t>
  </si>
  <si>
    <t>LPM10ET006</t>
  </si>
  <si>
    <t>320E</t>
  </si>
  <si>
    <t>6857</t>
  </si>
  <si>
    <t>Conjunto de lâmpadas para secagem</t>
  </si>
  <si>
    <t>LPM21ET001</t>
  </si>
  <si>
    <t>35677</t>
  </si>
  <si>
    <t>LPM10ET003</t>
  </si>
  <si>
    <t>LPM10ET002</t>
  </si>
  <si>
    <t>520 / 2C</t>
  </si>
  <si>
    <t>Secagem de amostras</t>
  </si>
  <si>
    <t>LPM10ET001</t>
  </si>
  <si>
    <t>Dosador de Canecas</t>
  </si>
  <si>
    <t>Dosador</t>
  </si>
  <si>
    <t>LPM10DO002</t>
  </si>
  <si>
    <t>Azusa Calif.</t>
  </si>
  <si>
    <t>E 2</t>
  </si>
  <si>
    <t>35057</t>
  </si>
  <si>
    <t>Alimentação controlada de reagentes</t>
  </si>
  <si>
    <t>Alimentador</t>
  </si>
  <si>
    <t>LPM10DO001</t>
  </si>
  <si>
    <t>6701</t>
  </si>
  <si>
    <t>Alimentaçao controlada de materiais</t>
  </si>
  <si>
    <t>Peletizadora*</t>
  </si>
  <si>
    <t>Disco</t>
  </si>
  <si>
    <t>LPM10DI006</t>
  </si>
  <si>
    <t>Eng Maq</t>
  </si>
  <si>
    <t>CCM-CP10HP</t>
  </si>
  <si>
    <t>18595</t>
  </si>
  <si>
    <t>Aglomeração de biomassa</t>
  </si>
  <si>
    <t>Disco pelotizador</t>
  </si>
  <si>
    <t>LPM10DI005</t>
  </si>
  <si>
    <t>Erweka</t>
  </si>
  <si>
    <t>AR 400</t>
  </si>
  <si>
    <t>6702</t>
  </si>
  <si>
    <t>Pelotizar materiais</t>
  </si>
  <si>
    <t>LPM10DI004</t>
  </si>
  <si>
    <t>TR10</t>
  </si>
  <si>
    <t>35984</t>
  </si>
  <si>
    <t>LPM10DI003</t>
  </si>
  <si>
    <t>IPT - Ø 1 Metro</t>
  </si>
  <si>
    <t>LPM10DI002</t>
  </si>
  <si>
    <t>Lurgi</t>
  </si>
  <si>
    <t>HPE-00-1524-00</t>
  </si>
  <si>
    <t>6699</t>
  </si>
  <si>
    <t>Bolomêtro</t>
  </si>
  <si>
    <t>LPM10DI001</t>
  </si>
  <si>
    <t>6658</t>
  </si>
  <si>
    <t>Aglomeração de finos</t>
  </si>
  <si>
    <t>Sala de compressoeres</t>
  </si>
  <si>
    <t>Compressor</t>
  </si>
  <si>
    <t>LPM10CP002</t>
  </si>
  <si>
    <t>Hitachi</t>
  </si>
  <si>
    <t>2.2U-7T</t>
  </si>
  <si>
    <t>Hz</t>
  </si>
  <si>
    <t>1554</t>
  </si>
  <si>
    <t>Gerar ar comprimido</t>
  </si>
  <si>
    <t>Compressor novo</t>
  </si>
  <si>
    <t>LPM10CP001</t>
  </si>
  <si>
    <t>Schulz</t>
  </si>
  <si>
    <t>MSWV 60 F</t>
  </si>
  <si>
    <t>lbf/Pol2</t>
  </si>
  <si>
    <t>pes3/min</t>
  </si>
  <si>
    <t>Comprimir o ar</t>
  </si>
  <si>
    <t>Classificador Gravimetrico</t>
  </si>
  <si>
    <t>LPM10CG002</t>
  </si>
  <si>
    <t>Alljig</t>
  </si>
  <si>
    <t>00684</t>
  </si>
  <si>
    <t>Concentração por gravidade</t>
  </si>
  <si>
    <t>Foi descartado</t>
  </si>
  <si>
    <t>Classificador espiral</t>
  </si>
  <si>
    <t>LPM10CG001</t>
  </si>
  <si>
    <t>9x6 - 7</t>
  </si>
  <si>
    <t>Condicionador de polpa</t>
  </si>
  <si>
    <t>Célula Flotação/Atrição</t>
  </si>
  <si>
    <t>LPM10CF009</t>
  </si>
  <si>
    <t>Joy Denver</t>
  </si>
  <si>
    <t>48x36 LLB Thickener</t>
  </si>
  <si>
    <t>Kg/h</t>
  </si>
  <si>
    <t xml:space="preserve">Concentrar por sedimentação </t>
  </si>
  <si>
    <t>Célula de flotação bateria</t>
  </si>
  <si>
    <t>LPM10CF008</t>
  </si>
  <si>
    <t>Reagentes químicos</t>
  </si>
  <si>
    <t>6636</t>
  </si>
  <si>
    <t>Concentrar materiais</t>
  </si>
  <si>
    <t>Célula de flotação</t>
  </si>
  <si>
    <t>LPM10CF007</t>
  </si>
  <si>
    <t>D-12</t>
  </si>
  <si>
    <t>6637</t>
  </si>
  <si>
    <t>Flotar materias</t>
  </si>
  <si>
    <t>Célula de atrição</t>
  </si>
  <si>
    <t>LPM10CF006</t>
  </si>
  <si>
    <t>D1</t>
  </si>
  <si>
    <t>6632</t>
  </si>
  <si>
    <t>limpeza de grãos por atrição</t>
  </si>
  <si>
    <t>LPM10CF005</t>
  </si>
  <si>
    <t>Luferco</t>
  </si>
  <si>
    <t>37192</t>
  </si>
  <si>
    <t>Célula de flutuação</t>
  </si>
  <si>
    <t>LPM10CF004</t>
  </si>
  <si>
    <t>Ohta kikai Seisakusho</t>
  </si>
  <si>
    <t>Agitair</t>
  </si>
  <si>
    <t xml:space="preserve">JICA </t>
  </si>
  <si>
    <t>19525</t>
  </si>
  <si>
    <t>Ensaios de flotação</t>
  </si>
  <si>
    <t xml:space="preserve">Célula de flotação </t>
  </si>
  <si>
    <t>LPM10CF003</t>
  </si>
  <si>
    <t>DTA Iron Works Ltd.</t>
  </si>
  <si>
    <t>MS 250/500</t>
  </si>
  <si>
    <t>1573</t>
  </si>
  <si>
    <t>LPM10CF002</t>
  </si>
  <si>
    <t>M.S.50/150</t>
  </si>
  <si>
    <t>1574</t>
  </si>
  <si>
    <t>LPM10CF001</t>
  </si>
  <si>
    <t>MS1000G</t>
  </si>
  <si>
    <t>1572</t>
  </si>
  <si>
    <t>Hidrociclone</t>
  </si>
  <si>
    <t>Ciclone</t>
  </si>
  <si>
    <t>LPM10CC003</t>
  </si>
  <si>
    <t>Cimaq</t>
  </si>
  <si>
    <t>Diâmetro 4"</t>
  </si>
  <si>
    <t>35067</t>
  </si>
  <si>
    <t>LPM10CC002</t>
  </si>
  <si>
    <t>Diâmetro 2"</t>
  </si>
  <si>
    <t>07210</t>
  </si>
  <si>
    <t>LPM10CC001</t>
  </si>
  <si>
    <t>Diâmetro 3"</t>
  </si>
  <si>
    <t>23995</t>
  </si>
  <si>
    <t>Capela</t>
  </si>
  <si>
    <t>LPM10CA001</t>
  </si>
  <si>
    <t>Q 216-23</t>
  </si>
  <si>
    <t>Manipulação de produtos voláteis e com odores</t>
  </si>
  <si>
    <t>Britador de mandíbulas</t>
  </si>
  <si>
    <t>Britador</t>
  </si>
  <si>
    <t>LPM10BR006</t>
  </si>
  <si>
    <t>BMA 80- 125</t>
  </si>
  <si>
    <t>6649</t>
  </si>
  <si>
    <t>Britar materiais</t>
  </si>
  <si>
    <t>LPM10BR005</t>
  </si>
  <si>
    <t>5" X 6"</t>
  </si>
  <si>
    <t>6650</t>
  </si>
  <si>
    <t>LPM10BR004</t>
  </si>
  <si>
    <t>Allis</t>
  </si>
  <si>
    <t>B1021</t>
  </si>
  <si>
    <t>35032</t>
  </si>
  <si>
    <t>Rebritar amostras</t>
  </si>
  <si>
    <t>Britador de maníbulas (Blake)</t>
  </si>
  <si>
    <t>LPM10BR003</t>
  </si>
  <si>
    <t>Ogawa Sampling</t>
  </si>
  <si>
    <t>OSK 131-3</t>
  </si>
  <si>
    <t>1564</t>
  </si>
  <si>
    <t>Britar amostras</t>
  </si>
  <si>
    <t>LPM10BR002</t>
  </si>
  <si>
    <t>OSK 132</t>
  </si>
  <si>
    <t>Britador Cônico</t>
  </si>
  <si>
    <t>LPM10BR001</t>
  </si>
  <si>
    <t>OSK152-8</t>
  </si>
  <si>
    <t>35644</t>
  </si>
  <si>
    <t>Briquetadeira de rolos</t>
  </si>
  <si>
    <t>Briquetadeira</t>
  </si>
  <si>
    <t>LPM10BQ003</t>
  </si>
  <si>
    <t>BQ-407:01.02.03.04.05</t>
  </si>
  <si>
    <t>6690</t>
  </si>
  <si>
    <t>Produzir briquetes</t>
  </si>
  <si>
    <t>Briquetadeira de Pistão*</t>
  </si>
  <si>
    <t>LPM10BQ002</t>
  </si>
  <si>
    <t>KW</t>
  </si>
  <si>
    <t>Àgua</t>
  </si>
  <si>
    <t>BL 65/150</t>
  </si>
  <si>
    <t>17026</t>
  </si>
  <si>
    <t>LPM10BQ001</t>
  </si>
  <si>
    <t>BP 1000 A</t>
  </si>
  <si>
    <t>17025</t>
  </si>
  <si>
    <t>Balança de plataforma</t>
  </si>
  <si>
    <t>Balança</t>
  </si>
  <si>
    <t>LPM10BL005</t>
  </si>
  <si>
    <t>Líder</t>
  </si>
  <si>
    <t>B650</t>
  </si>
  <si>
    <t>20685</t>
  </si>
  <si>
    <t>Pesar materiais</t>
  </si>
  <si>
    <t>Balança de precisão</t>
  </si>
  <si>
    <t>LPM10BL003</t>
  </si>
  <si>
    <t>Toledo do Brasil</t>
  </si>
  <si>
    <t>PS6000</t>
  </si>
  <si>
    <t>24197</t>
  </si>
  <si>
    <t>Pesagem</t>
  </si>
  <si>
    <t>LPM10BL004</t>
  </si>
  <si>
    <t>Balança determinadora de umidade</t>
  </si>
  <si>
    <t>LPM10BL002</t>
  </si>
  <si>
    <t>Ohaus</t>
  </si>
  <si>
    <t>MB45</t>
  </si>
  <si>
    <t>3620</t>
  </si>
  <si>
    <t xml:space="preserve">determinação rápida de umidade </t>
  </si>
  <si>
    <t>EP6102C</t>
  </si>
  <si>
    <t>11956</t>
  </si>
  <si>
    <t>LPM10BL001</t>
  </si>
  <si>
    <t>ARC 120</t>
  </si>
  <si>
    <t>3795</t>
  </si>
  <si>
    <t xml:space="preserve">Pesagem  </t>
  </si>
  <si>
    <t>Bomba de vácuo**</t>
  </si>
  <si>
    <t>Bomba</t>
  </si>
  <si>
    <t>LPM10BB006</t>
  </si>
  <si>
    <t>Primar S.A</t>
  </si>
  <si>
    <t>141 TIPO 2.V.C.</t>
  </si>
  <si>
    <t>3918</t>
  </si>
  <si>
    <t>Filtrar soluções</t>
  </si>
  <si>
    <t>Bomba à vacuo</t>
  </si>
  <si>
    <t>LPM10BB002</t>
  </si>
  <si>
    <t>Tecnal</t>
  </si>
  <si>
    <t>TE-058</t>
  </si>
  <si>
    <t>LPM10BB003</t>
  </si>
  <si>
    <t>LPM10BB001</t>
  </si>
  <si>
    <t>Litros/Minutos</t>
  </si>
  <si>
    <t>Armário da Bancada</t>
  </si>
  <si>
    <t>Banho de Areia</t>
  </si>
  <si>
    <t>Banho</t>
  </si>
  <si>
    <t>LPM10BA001</t>
  </si>
  <si>
    <t>Q-302-2</t>
  </si>
  <si>
    <t>Petrobras</t>
  </si>
  <si>
    <t>Aquecimento</t>
  </si>
  <si>
    <t>Analisador tamanho de partículas</t>
  </si>
  <si>
    <t>Analisador Particulas</t>
  </si>
  <si>
    <t>LPM10AP001</t>
  </si>
  <si>
    <t>SA-CP2-20</t>
  </si>
  <si>
    <t xml:space="preserve">Japonesa </t>
  </si>
  <si>
    <t>Determinar microgranulometrias</t>
  </si>
  <si>
    <t>agitador de peneiras suspenso</t>
  </si>
  <si>
    <t>Agitador</t>
  </si>
  <si>
    <t>LPM10AG004</t>
  </si>
  <si>
    <t>Solotest</t>
  </si>
  <si>
    <t>8 polegadas</t>
  </si>
  <si>
    <t>43222</t>
  </si>
  <si>
    <t>classificar amostras</t>
  </si>
  <si>
    <t>Mesa agitadora</t>
  </si>
  <si>
    <t>LPM10AG003</t>
  </si>
  <si>
    <t>Q225M</t>
  </si>
  <si>
    <t>3917</t>
  </si>
  <si>
    <t>agitar materiais em solução</t>
  </si>
  <si>
    <t>Agitador Magnético c/ aquecimento</t>
  </si>
  <si>
    <t>LPM10AG001</t>
  </si>
  <si>
    <t>TE 0851</t>
  </si>
  <si>
    <t>Agitar amostras</t>
  </si>
  <si>
    <t>Térreo</t>
  </si>
  <si>
    <t>Ventilador Intercement-Heroult</t>
  </si>
  <si>
    <t>Ventilador</t>
  </si>
  <si>
    <t>LPM47VE001</t>
  </si>
  <si>
    <t>Ventcenter</t>
  </si>
  <si>
    <t>VC 1000 FC</t>
  </si>
  <si>
    <t>Intercement</t>
  </si>
  <si>
    <t>Ventilação de escória de aciaria e outras</t>
  </si>
  <si>
    <t>Funcionando antes da mudança</t>
  </si>
  <si>
    <t>LPM05VE001</t>
  </si>
  <si>
    <t>Serra de refratario do Heroult</t>
  </si>
  <si>
    <t>Serra</t>
  </si>
  <si>
    <t>LPM04SR005</t>
  </si>
  <si>
    <t>Husqvarna</t>
  </si>
  <si>
    <t>TS 350 E</t>
  </si>
  <si>
    <t>Preenchido "sem número"</t>
  </si>
  <si>
    <t>sem número</t>
  </si>
  <si>
    <t>Corte de refratários</t>
  </si>
  <si>
    <t>LPM05SR001</t>
  </si>
  <si>
    <t xml:space="preserve">Forno elétrico a arco Heroult (capacidade 1 t) </t>
  </si>
  <si>
    <t>LPM03FO017</t>
  </si>
  <si>
    <t>Ar, agua, gases</t>
  </si>
  <si>
    <t>018693</t>
  </si>
  <si>
    <t>Fusão de metais</t>
  </si>
  <si>
    <t>LPM05FO001</t>
  </si>
  <si>
    <t xml:space="preserve">Empilhadeira Toyota </t>
  </si>
  <si>
    <t>Empilhadeira</t>
  </si>
  <si>
    <t>LPM04EP001</t>
  </si>
  <si>
    <t>Toyota</t>
  </si>
  <si>
    <t>4FG-20</t>
  </si>
  <si>
    <t>ton</t>
  </si>
  <si>
    <t>Transporte e movimentação de cargas</t>
  </si>
  <si>
    <t>LPM05EP001</t>
  </si>
  <si>
    <t>Balança Digi-Tron Suspensa-Heroult</t>
  </si>
  <si>
    <t>LPM04BL011</t>
  </si>
  <si>
    <t>Digi-Tron</t>
  </si>
  <si>
    <t>DC</t>
  </si>
  <si>
    <t>5 tons.</t>
  </si>
  <si>
    <t>Pesagens diversas</t>
  </si>
  <si>
    <t>LPM05BL002</t>
  </si>
  <si>
    <t>Pesos suspensos por ponte rolante</t>
  </si>
  <si>
    <t>Balança de Digi-Tron de Piso Heroult</t>
  </si>
  <si>
    <t>LPM04BL010</t>
  </si>
  <si>
    <t>2 tons.</t>
  </si>
  <si>
    <t>LPM05BL001</t>
  </si>
  <si>
    <t>Plataforma de piso</t>
  </si>
  <si>
    <t>Mezanino</t>
  </si>
  <si>
    <t>Yokogawa Recorder 004916-Mezanino</t>
  </si>
  <si>
    <t>LPM04XX009</t>
  </si>
  <si>
    <t>Yokogawa</t>
  </si>
  <si>
    <t>Bivolt</t>
  </si>
  <si>
    <t>Japão</t>
  </si>
  <si>
    <t>004916 cinza e 35475 azul</t>
  </si>
  <si>
    <t>Medição de temperaturas</t>
  </si>
  <si>
    <t>Não possui Manual</t>
  </si>
  <si>
    <t>Celox Multi-Lab</t>
  </si>
  <si>
    <t>LPM04XX007</t>
  </si>
  <si>
    <t>Heraeus Electro-Nite</t>
  </si>
  <si>
    <t>ML-CX/EL, série-22340</t>
  </si>
  <si>
    <t>83448 e 000637</t>
  </si>
  <si>
    <t>Medidor de oxigenio em banho metálico</t>
  </si>
  <si>
    <t>Obsoleto.Saiu de fabricação juntamente com seus componentes.</t>
  </si>
  <si>
    <t>LPM04XX008</t>
  </si>
  <si>
    <t>Ano de FABRICAÇÃO, não de aquisição! Equipamento portátil, peso=9kg, dimensões: 50 x 20 x 35cm, possui lança metálica de 5m e peso=10kg, obs.: equipamento emprestado em 2017 ao Albertin/Levi.</t>
  </si>
  <si>
    <t>Registrador de Temperatura ECIL Melt-Therm</t>
  </si>
  <si>
    <t>LPM04XX006</t>
  </si>
  <si>
    <t>ECIL</t>
  </si>
  <si>
    <t>Melt-Therm</t>
  </si>
  <si>
    <t>BRASILEIRA</t>
  </si>
  <si>
    <t>Registro de temperaturas do forno a vácuo</t>
  </si>
  <si>
    <t>Cut Off</t>
  </si>
  <si>
    <t>LPM04XX005</t>
  </si>
  <si>
    <t>Buehler</t>
  </si>
  <si>
    <t>No. De série: 217-A-907</t>
  </si>
  <si>
    <t>IPT cinza-004931, IPT azul-48108 e IPT azul-01313</t>
  </si>
  <si>
    <t>Corte de amostras metalográficas</t>
  </si>
  <si>
    <t>Yokogawa Recorder-P.04-Galpao</t>
  </si>
  <si>
    <t>LPM04XX004</t>
  </si>
  <si>
    <t>LR 4110 Model:371141</t>
  </si>
  <si>
    <t>IPT vermelha-82962 e IPT vermelha-000635</t>
  </si>
  <si>
    <t>Registrador de temperatura</t>
  </si>
  <si>
    <t>Yokogawa MV100</t>
  </si>
  <si>
    <t>LPM04XX003</t>
  </si>
  <si>
    <t>MV106-3-2-1D</t>
  </si>
  <si>
    <t>China</t>
  </si>
  <si>
    <t>Pirometro Ótico Minolta</t>
  </si>
  <si>
    <t>LPM04XX002</t>
  </si>
  <si>
    <t>Minolta</t>
  </si>
  <si>
    <t>Pilhas AA</t>
  </si>
  <si>
    <t>Minolta Land Cyclops 152</t>
  </si>
  <si>
    <t>azul-35472 e cinza-003234</t>
  </si>
  <si>
    <t>Medições de temperaturas</t>
  </si>
  <si>
    <t>Necessita manutenção no compartimento das pilhas.</t>
  </si>
  <si>
    <t>Galpão</t>
  </si>
  <si>
    <t>Ponte Rolante Shepard Niles 5 Tons</t>
  </si>
  <si>
    <t>LPM04XX001</t>
  </si>
  <si>
    <t>Shepard Niles</t>
  </si>
  <si>
    <t>5 Tons</t>
  </si>
  <si>
    <t>020899 Azul</t>
  </si>
  <si>
    <t>Movimentação de cargas</t>
  </si>
  <si>
    <t>Necessita revisão e manutenção</t>
  </si>
  <si>
    <t>Lavadora Ultra-Som</t>
  </si>
  <si>
    <t>LPM04UL001</t>
  </si>
  <si>
    <t>Sercon</t>
  </si>
  <si>
    <t>LU 20</t>
  </si>
  <si>
    <t>IPT cinza-017024</t>
  </si>
  <si>
    <t>Limpeza de amostras e vidrarias de laboratório.</t>
  </si>
  <si>
    <t>Ano de FABRICAÇÃO, não de aquisição!</t>
  </si>
  <si>
    <t>Serra de Lingotes Franho</t>
  </si>
  <si>
    <t>LPM04SR004</t>
  </si>
  <si>
    <t>Franho</t>
  </si>
  <si>
    <t>S/900</t>
  </si>
  <si>
    <t>IPT azul-22533 e IPT cinza-004928</t>
  </si>
  <si>
    <t>Corte de lingotes</t>
  </si>
  <si>
    <t>LPM04SR001</t>
  </si>
  <si>
    <t>Of. Mecanica</t>
  </si>
  <si>
    <t>maquina de solda esab 004963 valter</t>
  </si>
  <si>
    <t>LPM04SO003</t>
  </si>
  <si>
    <t>esab</t>
  </si>
  <si>
    <t>valter</t>
  </si>
  <si>
    <t>super bantam</t>
  </si>
  <si>
    <t>brasileira</t>
  </si>
  <si>
    <t>004963</t>
  </si>
  <si>
    <t>em funcionamento</t>
  </si>
  <si>
    <t>Of. Mecanca</t>
  </si>
  <si>
    <t>maquina de solda portatil esab</t>
  </si>
  <si>
    <t>LPM04SO002</t>
  </si>
  <si>
    <t>francisco/valter</t>
  </si>
  <si>
    <t>A</t>
  </si>
  <si>
    <t>LHN 220i Plus</t>
  </si>
  <si>
    <t>020607</t>
  </si>
  <si>
    <t>em funcionamento, porem sem precisão.Necessita revisão e reforma</t>
  </si>
  <si>
    <t>Máquina de Solda Ponto</t>
  </si>
  <si>
    <t>LPM04SO001</t>
  </si>
  <si>
    <t>Jica</t>
  </si>
  <si>
    <t>PR 10 A</t>
  </si>
  <si>
    <t>Soldagem de termopares.</t>
  </si>
  <si>
    <t>Seladora a Vácuo</t>
  </si>
  <si>
    <t>LPM04SL002</t>
  </si>
  <si>
    <t>Tec Maq</t>
  </si>
  <si>
    <t>AP 450</t>
  </si>
  <si>
    <t>Seladora de embalagens plásticas.</t>
  </si>
  <si>
    <t>Seladora a Vácuo Nova</t>
  </si>
  <si>
    <t>LPM04SL001</t>
  </si>
  <si>
    <t>Sala de Preparação de Amostras</t>
  </si>
  <si>
    <t>Reator de Teflon para Lixiviação</t>
  </si>
  <si>
    <t>Reator</t>
  </si>
  <si>
    <t>LPM04RT001</t>
  </si>
  <si>
    <t>Proj. Si</t>
  </si>
  <si>
    <t>IPT azul-045223 e IPT cinza-011626</t>
  </si>
  <si>
    <t>Reator de teflon (ensaio de lixiviação de Si)</t>
  </si>
  <si>
    <t>Descarte</t>
  </si>
  <si>
    <t>Sala dos Fornos de Alta Temperatura</t>
  </si>
  <si>
    <t>Chiller Resfriador de Água Portátil LAUDA</t>
  </si>
  <si>
    <t>Resfriador</t>
  </si>
  <si>
    <t>LPM04RF002</t>
  </si>
  <si>
    <t>Lauda</t>
  </si>
  <si>
    <t>M3 Lauda</t>
  </si>
  <si>
    <t>Germany</t>
  </si>
  <si>
    <t>IPT azul-35370 e IPT cinza-004879</t>
  </si>
  <si>
    <t>Resfriador de água de bancada</t>
  </si>
  <si>
    <t>Chiller</t>
  </si>
  <si>
    <t>LPM04RF001</t>
  </si>
  <si>
    <t>Eyela</t>
  </si>
  <si>
    <t>Cool Ace CA-1110</t>
  </si>
  <si>
    <t>Resfriador de água</t>
  </si>
  <si>
    <t>Purificador de Gás Inert-Analisador de O2</t>
  </si>
  <si>
    <t>Purificador Gás</t>
  </si>
  <si>
    <t>LPM04PG001</t>
  </si>
  <si>
    <t>Centorr</t>
  </si>
  <si>
    <t>Model 2 A</t>
  </si>
  <si>
    <t>IPT vermelha-004135 e IPT vermelha-81719</t>
  </si>
  <si>
    <t>Nunca foi utilizado</t>
  </si>
  <si>
    <t>Misturador "Y"</t>
  </si>
  <si>
    <t>LPM04MT002</t>
  </si>
  <si>
    <t>omar</t>
  </si>
  <si>
    <t>IPT azul-30701, IPT azul-21635 e IPT cinza-004929</t>
  </si>
  <si>
    <t>Mistura de materiais em pó</t>
  </si>
  <si>
    <t>Forno de Eletrólise</t>
  </si>
  <si>
    <t>LPM04FO022</t>
  </si>
  <si>
    <t>056 2014 POBA 1200/FEEL</t>
  </si>
  <si>
    <t xml:space="preserve">CBMM </t>
  </si>
  <si>
    <t>IPT vermelha-005274 e IPT vermelha-005217</t>
  </si>
  <si>
    <t>Ensaios de eletrólise</t>
  </si>
  <si>
    <t>LPM04FO023</t>
  </si>
  <si>
    <t>Forno de Solidificação Controlada Maitec(Moysés/Wagner)</t>
  </si>
  <si>
    <t>LPM04FO021</t>
  </si>
  <si>
    <t>40/2011</t>
  </si>
  <si>
    <t>Proj. Silício</t>
  </si>
  <si>
    <t>IPT cinza-013779</t>
  </si>
  <si>
    <t>Fusão de Silício Metálico</t>
  </si>
  <si>
    <t>Desligado aguardando decisão Moyses</t>
  </si>
  <si>
    <t>Forno Grion de Solidificação Direcional(Denir)</t>
  </si>
  <si>
    <t>LPM04FO020</t>
  </si>
  <si>
    <t>No. Série: 1532</t>
  </si>
  <si>
    <t>IPT cinza-015866</t>
  </si>
  <si>
    <t>Fusão de Silício Metálico com Solidificação Direcional</t>
  </si>
  <si>
    <t>Descartado</t>
  </si>
  <si>
    <t>Foi descartado durante as obras na pandemia</t>
  </si>
  <si>
    <t>Forno FIA/GCA</t>
  </si>
  <si>
    <t>LPM04FO019</t>
  </si>
  <si>
    <t>GCA Vacuum Industries/VIP Inductotherm Corp.</t>
  </si>
  <si>
    <t>6054-2</t>
  </si>
  <si>
    <t>IPT cinza-004921 e IPT azul-06360</t>
  </si>
  <si>
    <t>Fusão de metais e ligas</t>
  </si>
  <si>
    <t>Forno Stokes Vácuo/Ar</t>
  </si>
  <si>
    <t>LPM04FO018</t>
  </si>
  <si>
    <t>Stokes Vacuum Equipment</t>
  </si>
  <si>
    <t>437-519 Serial: E-92557</t>
  </si>
  <si>
    <t>IPT azul-23619, IPT azul-06526 e IPT cinza-004915</t>
  </si>
  <si>
    <t>Forno Eletro Slag</t>
  </si>
  <si>
    <t>LPM04FO017</t>
  </si>
  <si>
    <t>Consarc</t>
  </si>
  <si>
    <t>IPT azul-06353, IPT azul-23618 e IPT cinza-004914</t>
  </si>
  <si>
    <t>Forno de refino por escória</t>
  </si>
  <si>
    <t>Forno de Soleira Condutora</t>
  </si>
  <si>
    <t>LPM04FO016</t>
  </si>
  <si>
    <t>Combustol</t>
  </si>
  <si>
    <t>F1019</t>
  </si>
  <si>
    <t>IPT cinza-004927 e IPT azul-06350</t>
  </si>
  <si>
    <t>Fusão de minérios metálicos</t>
  </si>
  <si>
    <t>Forno Grion 1400(John)</t>
  </si>
  <si>
    <t>LPM04FO015</t>
  </si>
  <si>
    <t>No. De série: 1524</t>
  </si>
  <si>
    <t>IPT cinza-013118</t>
  </si>
  <si>
    <t>Calcinações e aquecimentos diversos</t>
  </si>
  <si>
    <t>Forno Poço Fortelab/Inti(João Oswaldo)</t>
  </si>
  <si>
    <t>LPM04FO014</t>
  </si>
  <si>
    <t>Inti Fornos e Equipamentos</t>
  </si>
  <si>
    <t>POF 1700/F</t>
  </si>
  <si>
    <t>IPT azul-020825</t>
  </si>
  <si>
    <t>Fusão de escórias</t>
  </si>
  <si>
    <t>Forno Elétrico Termolab 5439</t>
  </si>
  <si>
    <t>LPM04FO013</t>
  </si>
  <si>
    <t xml:space="preserve">Termolab </t>
  </si>
  <si>
    <t>Portugal</t>
  </si>
  <si>
    <t>IPT vermelha-005439</t>
  </si>
  <si>
    <t>Forno poço com retorta metálica ou ceramica (ensaios com pelotas)</t>
  </si>
  <si>
    <t>Forno Thermal</t>
  </si>
  <si>
    <t>LPM04FO012</t>
  </si>
  <si>
    <t>Thermal Technology Inc.</t>
  </si>
  <si>
    <t>Serial No. C 003-9901</t>
  </si>
  <si>
    <t>IPT vermelha-83130 e IPT vermelha-000638</t>
  </si>
  <si>
    <t>Fusão de metais a alta temperatura</t>
  </si>
  <si>
    <t>Forno de Voltametria</t>
  </si>
  <si>
    <t>LPM04FO011</t>
  </si>
  <si>
    <t>POBA 1400/E</t>
  </si>
  <si>
    <t>CBMM-Didimio</t>
  </si>
  <si>
    <t>IPT vermelha-005216</t>
  </si>
  <si>
    <t>Forno tipo poço para fusão de sais (ensaios de voltametria)</t>
  </si>
  <si>
    <t>Sem uso</t>
  </si>
  <si>
    <t>Forno de Calciotermia</t>
  </si>
  <si>
    <t>LPM04FO010</t>
  </si>
  <si>
    <t>IPT vermelha-005215</t>
  </si>
  <si>
    <t>Forno tipo poço para fusão de sais (ensaios de calciotermia)</t>
  </si>
  <si>
    <t>Forno Tubular Grion-017325</t>
  </si>
  <si>
    <t>LPM04FO009</t>
  </si>
  <si>
    <t>°C</t>
  </si>
  <si>
    <t>IPT cinza-013725</t>
  </si>
  <si>
    <t>Forno Tubular</t>
  </si>
  <si>
    <t>Forno Tubular Grion-013726</t>
  </si>
  <si>
    <t>LPM04FO008</t>
  </si>
  <si>
    <t>No. Serie-14422</t>
  </si>
  <si>
    <t>IPT cinza-013726</t>
  </si>
  <si>
    <t>Forno Jica 1500</t>
  </si>
  <si>
    <t>LPM04FO006</t>
  </si>
  <si>
    <t>Advantec Toyo Kaisha, Ltd.</t>
  </si>
  <si>
    <t>JICA</t>
  </si>
  <si>
    <t>OCT-S</t>
  </si>
  <si>
    <t>CETESB</t>
  </si>
  <si>
    <t>5861</t>
  </si>
  <si>
    <t>Ensaios de calcinação e aquecimentos ao ar</t>
  </si>
  <si>
    <t>Forno Jica 1000</t>
  </si>
  <si>
    <t>LPM04FO005</t>
  </si>
  <si>
    <t>Advantec Electric Furnace</t>
  </si>
  <si>
    <t>OKT-S</t>
  </si>
  <si>
    <t>5862</t>
  </si>
  <si>
    <t>Ensaios de calcinação e aquecimentos</t>
  </si>
  <si>
    <t>Em processe de descarte</t>
  </si>
  <si>
    <t>Forno Tubular Rotativo</t>
  </si>
  <si>
    <t>Forno Portugues</t>
  </si>
  <si>
    <t>LPM04FO004</t>
  </si>
  <si>
    <t>Termolab</t>
  </si>
  <si>
    <t>gases</t>
  </si>
  <si>
    <t>FTV 17 80x600</t>
  </si>
  <si>
    <t>Forno Rotativo Tubular de alta temperatura para materiais cimentícios</t>
  </si>
  <si>
    <t>Em atendimento de man. eletronica/R71162/22 de 22/09/22</t>
  </si>
  <si>
    <t>No. Série:198/2005</t>
  </si>
  <si>
    <t>Pirometro Otico Mikron</t>
  </si>
  <si>
    <t>LPM04FE016</t>
  </si>
  <si>
    <t>Mikron</t>
  </si>
  <si>
    <t>Bateria</t>
  </si>
  <si>
    <t>M90</t>
  </si>
  <si>
    <t>Necessita manutenção da bateria e carregador</t>
  </si>
  <si>
    <t>Furadeira</t>
  </si>
  <si>
    <t>LPM04FE015</t>
  </si>
  <si>
    <t>Almeida Land AS</t>
  </si>
  <si>
    <t>IPT azul-17610, IPT azul-49805 e IPT cinza-004930</t>
  </si>
  <si>
    <t>Furações em geral</t>
  </si>
  <si>
    <t>LPM04FE002</t>
  </si>
  <si>
    <t>Esmeril Makita</t>
  </si>
  <si>
    <t>LPM04FE001</t>
  </si>
  <si>
    <t>Makita</t>
  </si>
  <si>
    <t>GB 801</t>
  </si>
  <si>
    <t>Silicio</t>
  </si>
  <si>
    <t>IPT cinza-016734</t>
  </si>
  <si>
    <t>Limpeza de amostras.</t>
  </si>
  <si>
    <t>Evaporador Rotativo</t>
  </si>
  <si>
    <t>Evaporador</t>
  </si>
  <si>
    <t>LPM04EV001</t>
  </si>
  <si>
    <t>Fisatom</t>
  </si>
  <si>
    <t>802D Série:198562</t>
  </si>
  <si>
    <t>IPT azul-37352 e IPT cinza-004904</t>
  </si>
  <si>
    <t>Estufa a Vácuo Marconi</t>
  </si>
  <si>
    <t>LPM04ET002</t>
  </si>
  <si>
    <t>MA 030/12 No. De série-0424971</t>
  </si>
  <si>
    <t>IPT azul-39276 e IPT cinza-004895</t>
  </si>
  <si>
    <t>Estufa para secagem de materiais e vidrarias</t>
  </si>
  <si>
    <t>LPM04ET001</t>
  </si>
  <si>
    <t>DTA-STA409CD-Alta Temperatura</t>
  </si>
  <si>
    <t>DTA</t>
  </si>
  <si>
    <t>LPM04DT002</t>
  </si>
  <si>
    <t>Netzsch</t>
  </si>
  <si>
    <t>STA 409 CD</t>
  </si>
  <si>
    <t>IPT vermelha-83306 e IPT cinza-000634</t>
  </si>
  <si>
    <t>Ensaios de análises térmicas a altas temperaturas</t>
  </si>
  <si>
    <t>DTA-STA409-Baixa Temperatura</t>
  </si>
  <si>
    <t>LPM04DT001</t>
  </si>
  <si>
    <t>DTA 404 PC</t>
  </si>
  <si>
    <t>Cromatógrafo</t>
  </si>
  <si>
    <t>LPM04CR001</t>
  </si>
  <si>
    <t>GC-14B</t>
  </si>
  <si>
    <t>IPT grey</t>
  </si>
  <si>
    <t>4871</t>
  </si>
  <si>
    <t>Analisador de gases</t>
  </si>
  <si>
    <t>compressor de ar schulz interno</t>
  </si>
  <si>
    <t>compressor</t>
  </si>
  <si>
    <t>LPM04CP001</t>
  </si>
  <si>
    <t>schulz</t>
  </si>
  <si>
    <t>msv 30 max 350</t>
  </si>
  <si>
    <t>38720 e 004913</t>
  </si>
  <si>
    <t>compressor de ar</t>
  </si>
  <si>
    <t>Sala Preparação de Amostras</t>
  </si>
  <si>
    <t>Balança Marte LC 50 Heroult</t>
  </si>
  <si>
    <t>LPM04BL013</t>
  </si>
  <si>
    <t>Marte</t>
  </si>
  <si>
    <t>V</t>
  </si>
  <si>
    <t>Chave 110 ou 220</t>
  </si>
  <si>
    <t>LC 50</t>
  </si>
  <si>
    <t>34661 azul</t>
  </si>
  <si>
    <t>Possui Manual</t>
  </si>
  <si>
    <t>Balança Filizola 200 kg</t>
  </si>
  <si>
    <t>LPM04BL012</t>
  </si>
  <si>
    <t>Filizola</t>
  </si>
  <si>
    <t>004150, 21469 e 05753</t>
  </si>
  <si>
    <t>Funcionando</t>
  </si>
  <si>
    <t>Balança Filizola 200kg</t>
  </si>
  <si>
    <t>LPM04BL009</t>
  </si>
  <si>
    <t>IPT azul-23650, IPT azul-19418 e IPT cinza-004933</t>
  </si>
  <si>
    <t>Descartando</t>
  </si>
  <si>
    <t>Balança Marte 610g</t>
  </si>
  <si>
    <t>LPM04BL008</t>
  </si>
  <si>
    <t>IPT azul-17647, IPT azul-23648 e IPT cinza-004926</t>
  </si>
  <si>
    <t>Balança Ohaus 311g</t>
  </si>
  <si>
    <t>LPM04BL007</t>
  </si>
  <si>
    <t>Cent-O-Gram</t>
  </si>
  <si>
    <t>Balança Filizola 10 kg</t>
  </si>
  <si>
    <t>LPM04BL006</t>
  </si>
  <si>
    <t>IPT cinza-004925, IPT azul-22556 e IPT azul-23647</t>
  </si>
  <si>
    <t>Balança Digital Marte-40 kg</t>
  </si>
  <si>
    <t>LPM04BL005</t>
  </si>
  <si>
    <t>A 40 K</t>
  </si>
  <si>
    <t>Balança LC-50 HDH</t>
  </si>
  <si>
    <t>LPM04BL003</t>
  </si>
  <si>
    <t>Gilmar Avancini</t>
  </si>
  <si>
    <t>LC-50 No.255378</t>
  </si>
  <si>
    <t>Pesagens</t>
  </si>
  <si>
    <t>LPM04BL004</t>
  </si>
  <si>
    <t>Balança de Precisão 4863</t>
  </si>
  <si>
    <t>AS-5500, No.246790</t>
  </si>
  <si>
    <t>IPT azul-36236 e IPT cinza-004863</t>
  </si>
  <si>
    <t>Balança de Precisão-CBMM</t>
  </si>
  <si>
    <t>LPM04BL002</t>
  </si>
  <si>
    <t>Rogerio</t>
  </si>
  <si>
    <t>AD5002</t>
  </si>
  <si>
    <t>CBMM-Neodímio-Maio/2016</t>
  </si>
  <si>
    <t>18252</t>
  </si>
  <si>
    <t>No. De série:338938</t>
  </si>
  <si>
    <t>Bomba de água de diafragma OMEL</t>
  </si>
  <si>
    <t>LPM04BB001</t>
  </si>
  <si>
    <t>Omel</t>
  </si>
  <si>
    <t>DMD/G1 VA 897</t>
  </si>
  <si>
    <t>IPT cinza-016202</t>
  </si>
  <si>
    <t>Bomba de aumento de pressão de água</t>
  </si>
  <si>
    <t>Obsoleto</t>
  </si>
  <si>
    <t>LPM04BB002</t>
  </si>
  <si>
    <t>Banho Maria Marconi</t>
  </si>
  <si>
    <t>LPM04BA002</t>
  </si>
  <si>
    <t>MA-127, série-0473335</t>
  </si>
  <si>
    <t>IPT azul-39064 e IPT cinza-004905</t>
  </si>
  <si>
    <t>Banho Maria</t>
  </si>
  <si>
    <t>Banho Maria Fisatom</t>
  </si>
  <si>
    <t>LPM04BA001</t>
  </si>
  <si>
    <t>Ómar</t>
  </si>
  <si>
    <t>Mod.557-Série:1293093</t>
  </si>
  <si>
    <t>Aspirador de Pó ASPÓ</t>
  </si>
  <si>
    <t>Aspirador</t>
  </si>
  <si>
    <t>LPM04AS001</t>
  </si>
  <si>
    <t>ASPÓ</t>
  </si>
  <si>
    <t>IPT cinza-004889 e IPT azul-04815</t>
  </si>
  <si>
    <t>Aspirador de pó</t>
  </si>
  <si>
    <t>LPM04AS002</t>
  </si>
  <si>
    <t>Aspirador de Pó-Karcher</t>
  </si>
  <si>
    <t>LPM03AS001</t>
  </si>
  <si>
    <t>Karcher</t>
  </si>
  <si>
    <t>Rogério</t>
  </si>
  <si>
    <t>NT 30/1 Me Classic</t>
  </si>
  <si>
    <t>IPT azul-020589</t>
  </si>
  <si>
    <t>Equipamento em uso no P.03 temporariamente</t>
  </si>
  <si>
    <t>Sala de Fornos de Alta Temperatura</t>
  </si>
  <si>
    <t>Encaixotado</t>
  </si>
  <si>
    <t>Analisador de Gases NOVA</t>
  </si>
  <si>
    <t>Analisador Quimico</t>
  </si>
  <si>
    <t>LPM04AQ002</t>
  </si>
  <si>
    <t>NOVA Analytical Systems</t>
  </si>
  <si>
    <t>Real</t>
  </si>
  <si>
    <t>André</t>
  </si>
  <si>
    <t>Canadá</t>
  </si>
  <si>
    <t>Analise de gases</t>
  </si>
  <si>
    <t>Gas Analysis System Pfeiffer</t>
  </si>
  <si>
    <t>LPM04AQ001</t>
  </si>
  <si>
    <t>Pfeiffer vacuum</t>
  </si>
  <si>
    <t>GSD 320 03(2016/03)</t>
  </si>
  <si>
    <t>IPT azul-0021204</t>
  </si>
  <si>
    <t>Analisador de Gases</t>
  </si>
  <si>
    <t>Sem funcionar há anos</t>
  </si>
  <si>
    <t>Agitador Mecanico Eletronico Macro sem patrimonio</t>
  </si>
  <si>
    <t>LPM04AG002</t>
  </si>
  <si>
    <t>Q250-2 No. De série:07123658</t>
  </si>
  <si>
    <t>Homogeinização de líquidos/soluções</t>
  </si>
  <si>
    <t>Agitador Mecanico Eletronico Macro</t>
  </si>
  <si>
    <t>LPM04AG001</t>
  </si>
  <si>
    <t>Q250-CV2 No. Série:07123656</t>
  </si>
  <si>
    <t>IPT Cinza-017705 e IPT azul-41472</t>
  </si>
  <si>
    <t>Sala Caracterizaçao pos</t>
  </si>
  <si>
    <t>Funil Hall / Carney</t>
  </si>
  <si>
    <t>LPM03XX010</t>
  </si>
  <si>
    <t>Alcan</t>
  </si>
  <si>
    <t>Israel</t>
  </si>
  <si>
    <t>Hall / Carney</t>
  </si>
  <si>
    <t>2,54 +/-0,05</t>
  </si>
  <si>
    <t>mm</t>
  </si>
  <si>
    <t>5,0 +/-0,2</t>
  </si>
  <si>
    <t>Estados Unidos</t>
  </si>
  <si>
    <t>Medir escoabilidade e densidade aparente de amostras particuladas</t>
  </si>
  <si>
    <t>Operante</t>
  </si>
  <si>
    <t>Sala do Atomisador e preparação de amostras</t>
  </si>
  <si>
    <t>Registrador</t>
  </si>
  <si>
    <t>LPM03XX002</t>
  </si>
  <si>
    <t>MV 100</t>
  </si>
  <si>
    <t>004086</t>
  </si>
  <si>
    <t>Registrador de Temperaturas</t>
  </si>
  <si>
    <t>Sala de DRX</t>
  </si>
  <si>
    <t>Máquina de Ensaios MTS</t>
  </si>
  <si>
    <t>LPM03PR002</t>
  </si>
  <si>
    <t>MTS</t>
  </si>
  <si>
    <t>1 fase 60 Hz/12 A</t>
  </si>
  <si>
    <t>Sintech 5G</t>
  </si>
  <si>
    <t>Ensaios de tração e compressão diversos</t>
  </si>
  <si>
    <t>Máquina de Ensaios EMIC</t>
  </si>
  <si>
    <t>LPM03PR001</t>
  </si>
  <si>
    <t>EMIC</t>
  </si>
  <si>
    <t>DL 10000</t>
  </si>
  <si>
    <t>Brasil</t>
  </si>
  <si>
    <t>Em branco</t>
  </si>
  <si>
    <t>Sala dos fornos</t>
  </si>
  <si>
    <t>Forno Jung</t>
  </si>
  <si>
    <t>LPM03FO015</t>
  </si>
  <si>
    <t>Tratamentos térmicos</t>
  </si>
  <si>
    <t>Forno Inti Elevador</t>
  </si>
  <si>
    <t>LPM03FO014</t>
  </si>
  <si>
    <t>Inti</t>
  </si>
  <si>
    <t>MEV 1700</t>
  </si>
  <si>
    <t>005448</t>
  </si>
  <si>
    <t>Forno Inti</t>
  </si>
  <si>
    <t>LPM03FO013</t>
  </si>
  <si>
    <t>FE 1500</t>
  </si>
  <si>
    <t>PIPE - FAPESP</t>
  </si>
  <si>
    <t>Forno Yamato</t>
  </si>
  <si>
    <t>LPM03FO012</t>
  </si>
  <si>
    <t>Yamato</t>
  </si>
  <si>
    <t>FD-41</t>
  </si>
  <si>
    <t>004162</t>
  </si>
  <si>
    <t>Tratamentos térmicos altas temperaturas</t>
  </si>
  <si>
    <t>LPM03FO010</t>
  </si>
  <si>
    <t>FP-32-2</t>
  </si>
  <si>
    <t>004156</t>
  </si>
  <si>
    <t>Forno Ivoclar</t>
  </si>
  <si>
    <t>LPM03FO004</t>
  </si>
  <si>
    <t>Ivoclar</t>
  </si>
  <si>
    <t>EP 600 Empress</t>
  </si>
  <si>
    <t>Austria</t>
  </si>
  <si>
    <t>004107</t>
  </si>
  <si>
    <t>Sinterização de materiais cerâmicos dentários</t>
  </si>
  <si>
    <t>LPM03FO007</t>
  </si>
  <si>
    <t>Forno Inceramat 3</t>
  </si>
  <si>
    <t>LPM03FO003</t>
  </si>
  <si>
    <t>Vita Inceramat</t>
  </si>
  <si>
    <t>Inceramat3</t>
  </si>
  <si>
    <t>Alemanha</t>
  </si>
  <si>
    <t>012211</t>
  </si>
  <si>
    <t>LPM03FO006</t>
  </si>
  <si>
    <t>Forno Keramat</t>
  </si>
  <si>
    <t>LPM03FO002</t>
  </si>
  <si>
    <t>Knebel Produtos Dentarios Ltda</t>
  </si>
  <si>
    <t>004108</t>
  </si>
  <si>
    <t>LPM03FO005</t>
  </si>
  <si>
    <t>Difratômetro de Raio X</t>
  </si>
  <si>
    <t>Difratometro</t>
  </si>
  <si>
    <t>LPM03DF001</t>
  </si>
  <si>
    <t>SHIMADZU</t>
  </si>
  <si>
    <t xml:space="preserve">Cátia </t>
  </si>
  <si>
    <t>Torre de resfriamento de líquido externa</t>
  </si>
  <si>
    <t>XRD 6000</t>
  </si>
  <si>
    <t>004138</t>
  </si>
  <si>
    <t>Analise de Difração de Raios X</t>
  </si>
  <si>
    <t>Spray Drier</t>
  </si>
  <si>
    <t>Atomizador</t>
  </si>
  <si>
    <t>LPM03AT002</t>
  </si>
  <si>
    <t>Niro Atomizer</t>
  </si>
  <si>
    <t>M 02-B</t>
  </si>
  <si>
    <t>004164</t>
  </si>
  <si>
    <t>Atomização de materiais cerâmicos</t>
  </si>
  <si>
    <t>Inoperante</t>
  </si>
  <si>
    <t>Atomizador a gas</t>
  </si>
  <si>
    <t>LPM03AT001</t>
  </si>
  <si>
    <t>PSI Phoenix Scientific Industries</t>
  </si>
  <si>
    <t>Transformador interno</t>
  </si>
  <si>
    <t>Hermiga 75/3VI</t>
  </si>
  <si>
    <t>Inglaterra</t>
  </si>
  <si>
    <t>000083</t>
  </si>
  <si>
    <t>Atomização de ligas metálicas a gás</t>
  </si>
  <si>
    <t>Laboratório Quimico</t>
  </si>
  <si>
    <t xml:space="preserve">Forno digestor assistido por radiação micro-ondas </t>
  </si>
  <si>
    <t>LPM02FO002</t>
  </si>
  <si>
    <t>Milestone</t>
  </si>
  <si>
    <t>BRL</t>
  </si>
  <si>
    <t>Maciel</t>
  </si>
  <si>
    <t>50/60 Hz</t>
  </si>
  <si>
    <t>monofasico</t>
  </si>
  <si>
    <t>Ethos UP</t>
  </si>
  <si>
    <t>Itália</t>
  </si>
  <si>
    <t>Silício</t>
  </si>
  <si>
    <t>Agitação orbital de amostras liquidas contidas em tubos ou frascos, visando o preparo de amostras</t>
  </si>
  <si>
    <t>LPM02FO001</t>
  </si>
  <si>
    <t>Espectrômetro de Massas com Plasma Inductivamente Acoplado</t>
  </si>
  <si>
    <t>Espectrometro</t>
  </si>
  <si>
    <t>LPM02ES003</t>
  </si>
  <si>
    <t xml:space="preserve">SPECTRO </t>
  </si>
  <si>
    <t>iCAP TQ</t>
  </si>
  <si>
    <t>INCT terras raras</t>
  </si>
  <si>
    <t xml:space="preserve">Caracterização química elementar </t>
  </si>
  <si>
    <t>diária, com uso de padrões preparados, de acordo com o fabricante, precedendo qualquer análise.</t>
  </si>
  <si>
    <t>Espectrômetro de Emissão Óptica com Plasma Inductivamente Acoplado</t>
  </si>
  <si>
    <t>LPM02ES002</t>
  </si>
  <si>
    <t>50-60 Hz</t>
  </si>
  <si>
    <t>ARCOS</t>
  </si>
  <si>
    <t>diária, com uso de padrões preparados precedendo análise</t>
  </si>
  <si>
    <t>Espectrômetro de Absorção Atômica</t>
  </si>
  <si>
    <t>LPM02ES001</t>
  </si>
  <si>
    <t>VARIAN</t>
  </si>
  <si>
    <t>bivolt, 50-60 Hz</t>
  </si>
  <si>
    <t>AA-240FS</t>
  </si>
  <si>
    <t>EUA</t>
  </si>
  <si>
    <t>diária, com padrões prepapados, precedendo qualquer análise.</t>
  </si>
  <si>
    <t xml:space="preserve">cut off  </t>
  </si>
  <si>
    <t>cor 100</t>
  </si>
  <si>
    <t>cortadeira</t>
  </si>
  <si>
    <t>LPM02CT003</t>
  </si>
  <si>
    <t>arotec</t>
  </si>
  <si>
    <t>brl</t>
  </si>
  <si>
    <t>alzira</t>
  </si>
  <si>
    <t>COR 100</t>
  </si>
  <si>
    <t>cortar amostras metalicas</t>
  </si>
  <si>
    <t>delta</t>
  </si>
  <si>
    <t>LPM02CT001</t>
  </si>
  <si>
    <t>buelher</t>
  </si>
  <si>
    <t>neodmio</t>
  </si>
  <si>
    <t>Fluorescência de raios X - WDXRF</t>
  </si>
  <si>
    <t>LPM02AQ003</t>
  </si>
  <si>
    <t>Rigaku</t>
  </si>
  <si>
    <t>1 fase, 50/60 Hz, 10 A</t>
  </si>
  <si>
    <t>monofásico</t>
  </si>
  <si>
    <t>Supermini 200</t>
  </si>
  <si>
    <t>Seguro do XRF (Shimadzu)</t>
  </si>
  <si>
    <t>Determinação elementares</t>
  </si>
  <si>
    <t>diário, com padrões cadastrados pelo fabricante</t>
  </si>
  <si>
    <t>Analisador de Carbono e Enxofre</t>
  </si>
  <si>
    <t>LPM02AQ002</t>
  </si>
  <si>
    <t>Horiba</t>
  </si>
  <si>
    <t>FIPT</t>
  </si>
  <si>
    <t>EMIA-920V2</t>
  </si>
  <si>
    <t>Funtec terras raras</t>
  </si>
  <si>
    <t>T1645</t>
  </si>
  <si>
    <t>determinação de Carbono e Enxofre</t>
  </si>
  <si>
    <t>Analisador de Oxigênio,Nitrogênio e Hidrogênio</t>
  </si>
  <si>
    <t>LPM02AQ001</t>
  </si>
  <si>
    <t>LECO</t>
  </si>
  <si>
    <t>ONH 836</t>
  </si>
  <si>
    <t xml:space="preserve">Próteses </t>
  </si>
  <si>
    <t>Determinação de Oxigênio, Nitrogênio e Hidrogênio em amostras inorgânicas.</t>
  </si>
  <si>
    <t>LPM02RE001</t>
  </si>
  <si>
    <t>Electrolux</t>
  </si>
  <si>
    <t>60 Hz</t>
  </si>
  <si>
    <t xml:space="preserve">Geladeira flex </t>
  </si>
  <si>
    <t>Sueca</t>
  </si>
  <si>
    <t xml:space="preserve">condicionamento de amostras e reagentes </t>
  </si>
  <si>
    <t>Purificador de água</t>
  </si>
  <si>
    <t>LPM02PA001</t>
  </si>
  <si>
    <t>Millipore</t>
  </si>
  <si>
    <t>Integral 3</t>
  </si>
  <si>
    <t>377701A</t>
  </si>
  <si>
    <t>preparo de soluções e descontaminação de tubos de ensaio</t>
  </si>
  <si>
    <t>Moinho bolas</t>
  </si>
  <si>
    <t>LPM02MO001</t>
  </si>
  <si>
    <t>Spex</t>
  </si>
  <si>
    <t>8000 M</t>
  </si>
  <si>
    <t>Moagem de amostras</t>
  </si>
  <si>
    <t>LPM02RE002</t>
  </si>
  <si>
    <t>Flex refrigerador</t>
  </si>
  <si>
    <t>810101C</t>
  </si>
  <si>
    <t>Chapa de Aquecimento em Aço Inox</t>
  </si>
  <si>
    <t>Chapa</t>
  </si>
  <si>
    <t>LPM02CH002</t>
  </si>
  <si>
    <t xml:space="preserve">bivolt </t>
  </si>
  <si>
    <t>Q313I21</t>
  </si>
  <si>
    <t>Aquecimento de soluções e favorecimento da digestão de materiais</t>
  </si>
  <si>
    <t>LPM02CH003</t>
  </si>
  <si>
    <t>LPM02CH004</t>
  </si>
  <si>
    <t>LPM02CH005</t>
  </si>
  <si>
    <t>LPM02CH006</t>
  </si>
  <si>
    <t>LPM02CH007</t>
  </si>
  <si>
    <t xml:space="preserve">Chapa de Aquecimento em alumínio microprocessada </t>
  </si>
  <si>
    <t>LPM02CH008</t>
  </si>
  <si>
    <t>Máquina de Fusão</t>
  </si>
  <si>
    <t>LPM02FO004</t>
  </si>
  <si>
    <t>KATANAX</t>
  </si>
  <si>
    <t>K1P-1603-B</t>
  </si>
  <si>
    <t>K1-Prime</t>
  </si>
  <si>
    <t>Preparo de amostras em forma de pastilhas fundidas para determinações elementares por Fluorescência de Raio X.</t>
  </si>
  <si>
    <t>LPM02CH001</t>
  </si>
  <si>
    <t>Q 313 AM</t>
  </si>
  <si>
    <t>LPM02CH009</t>
  </si>
  <si>
    <t>LPM02CH010</t>
  </si>
  <si>
    <t>Chapa de aquescimento com agitação magnética</t>
  </si>
  <si>
    <t>LPM02CH011</t>
  </si>
  <si>
    <t>Destilador de ácidos Sub-boiling</t>
  </si>
  <si>
    <t>Destilador</t>
  </si>
  <si>
    <t>LPM02DE001</t>
  </si>
  <si>
    <t>BERGHOF</t>
  </si>
  <si>
    <t>Distillacid</t>
  </si>
  <si>
    <t>Purificação de ácidos por destilação abaixo do ponto de ebulição</t>
  </si>
  <si>
    <t>LPM02DE002</t>
  </si>
  <si>
    <t>LPM02DE003</t>
  </si>
  <si>
    <t xml:space="preserve">Mesa agitadora </t>
  </si>
  <si>
    <t>LPM02AG006</t>
  </si>
  <si>
    <t>TECNAL</t>
  </si>
  <si>
    <t>55 a 200 rpm</t>
  </si>
  <si>
    <t>TE-1401</t>
  </si>
  <si>
    <t>Centrifuga</t>
  </si>
  <si>
    <t>LPM02CE001</t>
  </si>
  <si>
    <t>0222T2</t>
  </si>
  <si>
    <t>Separação de amostras imissíveis</t>
  </si>
  <si>
    <t>LPM02PA002</t>
  </si>
  <si>
    <t>Milli-Q/Millipore</t>
  </si>
  <si>
    <t>Rios 5</t>
  </si>
  <si>
    <t>França</t>
  </si>
  <si>
    <t xml:space="preserve">Agitador de Tubos Vortex </t>
  </si>
  <si>
    <t>LPM02AG004</t>
  </si>
  <si>
    <t>LABNET</t>
  </si>
  <si>
    <t>60 Hz, 0,6 A</t>
  </si>
  <si>
    <t>S0200</t>
  </si>
  <si>
    <t>Homogeneização de amostras líquidas com movimento de vortex</t>
  </si>
  <si>
    <t>Lavadora Ultrasônica 20 Litros</t>
  </si>
  <si>
    <t>LPM02LV001</t>
  </si>
  <si>
    <t>SERCON</t>
  </si>
  <si>
    <t>LU</t>
  </si>
  <si>
    <t>Limpeza de amostras e vidrarias</t>
  </si>
  <si>
    <t>LPM02AG005</t>
  </si>
  <si>
    <t>QUIMIS</t>
  </si>
  <si>
    <t>30 a 300 rpm</t>
  </si>
  <si>
    <t>Q222T2</t>
  </si>
  <si>
    <t>última calibração em 2013</t>
  </si>
  <si>
    <t>Ar condicionado Sala Limpa</t>
  </si>
  <si>
    <t>Ar Condicionado</t>
  </si>
  <si>
    <t>LPM02AC003</t>
  </si>
  <si>
    <t>TRANE</t>
  </si>
  <si>
    <t>DLPA 050 1S+TRAE</t>
  </si>
  <si>
    <t xml:space="preserve">resfriamento do ambiente para bom funcionamento dos equipamentos </t>
  </si>
  <si>
    <t>PHMetro</t>
  </si>
  <si>
    <t>LPM02PH001</t>
  </si>
  <si>
    <t>Jenway</t>
  </si>
  <si>
    <t>395405A</t>
  </si>
  <si>
    <t>Mensuramento do potencial hidrogeniônico de soluções.</t>
  </si>
  <si>
    <t>LPM02FO003</t>
  </si>
  <si>
    <t>GRION</t>
  </si>
  <si>
    <t>Forno Mufla 1350°C</t>
  </si>
  <si>
    <t>045144; 004039</t>
  </si>
  <si>
    <t>Calcinação de materiais</t>
  </si>
  <si>
    <t>Estufa a Vácuo  50L</t>
  </si>
  <si>
    <t>LPM02ET002</t>
  </si>
  <si>
    <t>Nova Ética</t>
  </si>
  <si>
    <t>440/D</t>
  </si>
  <si>
    <t>Secagem de amostras/ secagem de vidrarias</t>
  </si>
  <si>
    <t>Estufa a Vácuo 12 Litros</t>
  </si>
  <si>
    <t>LPM02ET003</t>
  </si>
  <si>
    <t>MARCONI</t>
  </si>
  <si>
    <t>MA 30</t>
  </si>
  <si>
    <t xml:space="preserve">Estufa </t>
  </si>
  <si>
    <t>LPM02ET001</t>
  </si>
  <si>
    <t>bivolt</t>
  </si>
  <si>
    <t>Q 317M</t>
  </si>
  <si>
    <t>Lavadora Ultrasônica 20Litros</t>
  </si>
  <si>
    <t>LPM02LV002</t>
  </si>
  <si>
    <t>PRENSA HIDRAULICA DE 35 T. MOD. MP 35-01</t>
  </si>
  <si>
    <t>LPM02PR001</t>
  </si>
  <si>
    <t>trifásico, 4P</t>
  </si>
  <si>
    <t>MP 35</t>
  </si>
  <si>
    <t>Preparo de amostras em forma de pastilhas prensadas para determinações elementares por Fluorescência de Raio X.</t>
  </si>
  <si>
    <t>LPM02CT002</t>
  </si>
  <si>
    <t>teclago</t>
  </si>
  <si>
    <t>CM40</t>
  </si>
  <si>
    <t>hiperrol</t>
  </si>
  <si>
    <t>LPM02CT004</t>
  </si>
  <si>
    <t>cor 40</t>
  </si>
  <si>
    <t>004035 / 36113</t>
  </si>
  <si>
    <t>cortar amostras metalicas de medio porte</t>
  </si>
  <si>
    <t>em manutenção</t>
  </si>
  <si>
    <t xml:space="preserve">cut-off </t>
  </si>
  <si>
    <t>LPM02CT005</t>
  </si>
  <si>
    <t>isomet</t>
  </si>
  <si>
    <t>cortar amostras metalicas de pequeno porte</t>
  </si>
  <si>
    <t>LPM02CT006</t>
  </si>
  <si>
    <t>isomet 1000</t>
  </si>
  <si>
    <t>lixadeira de cinta</t>
  </si>
  <si>
    <t>lixadeira</t>
  </si>
  <si>
    <t>LPM02LX001</t>
  </si>
  <si>
    <t>surfmet</t>
  </si>
  <si>
    <t>9532 / 06306</t>
  </si>
  <si>
    <t>lixar amostras  metalicas</t>
  </si>
  <si>
    <t>LPM02LX002</t>
  </si>
  <si>
    <t>ALC 2</t>
  </si>
  <si>
    <t>lixadeira de pratos</t>
  </si>
  <si>
    <t>LPM02LX003</t>
  </si>
  <si>
    <t>2 pratos</t>
  </si>
  <si>
    <t xml:space="preserve">lixar amostras  metalicas </t>
  </si>
  <si>
    <t>LPM02LX004</t>
  </si>
  <si>
    <t>3 pratos</t>
  </si>
  <si>
    <t>secadores</t>
  </si>
  <si>
    <t>secador</t>
  </si>
  <si>
    <t>LPM02SC001</t>
  </si>
  <si>
    <t>darfon</t>
  </si>
  <si>
    <t xml:space="preserve">secar amostras  </t>
  </si>
  <si>
    <t>outros</t>
  </si>
  <si>
    <t>LPM02XX001</t>
  </si>
  <si>
    <t>WEG</t>
  </si>
  <si>
    <t>2 PEDRAS</t>
  </si>
  <si>
    <t xml:space="preserve">desbaste de amostras </t>
  </si>
  <si>
    <t>embutidora</t>
  </si>
  <si>
    <t>embutidora media</t>
  </si>
  <si>
    <t>EMBUTIDORA</t>
  </si>
  <si>
    <t>LPM02EB001</t>
  </si>
  <si>
    <t>simplimet 2000</t>
  </si>
  <si>
    <t>FAPESP</t>
  </si>
  <si>
    <t>embutir amostras metalicas até 30mm</t>
  </si>
  <si>
    <t>embutidora grande</t>
  </si>
  <si>
    <t>LPM02EB002</t>
  </si>
  <si>
    <t>impetech</t>
  </si>
  <si>
    <t>europe</t>
  </si>
  <si>
    <t>sul africana</t>
  </si>
  <si>
    <t>embutir amostras metalicas até 37mm</t>
  </si>
  <si>
    <t>embutidora pequena</t>
  </si>
  <si>
    <t>LPM02EB003</t>
  </si>
  <si>
    <t>simplimet 1000</t>
  </si>
  <si>
    <t>embutir amostras metalicas menores 25mm</t>
  </si>
  <si>
    <t>lixadeira politriz  automatica</t>
  </si>
  <si>
    <t>LPM02LX005</t>
  </si>
  <si>
    <t>vector</t>
  </si>
  <si>
    <t>FINEP-FUSP HIPERROL</t>
  </si>
  <si>
    <t>usp 1261/0035</t>
  </si>
  <si>
    <t>lixar ou polir amostras automaticamente</t>
  </si>
  <si>
    <t>LPM02LX006</t>
  </si>
  <si>
    <t>Automet 250</t>
  </si>
  <si>
    <t>cut-off automatizada</t>
  </si>
  <si>
    <t>LPM02CT007</t>
  </si>
  <si>
    <t>isomet 4000</t>
  </si>
  <si>
    <t>usp 1261/0052</t>
  </si>
  <si>
    <t>cortar amostras com corte delicado e precisão</t>
  </si>
  <si>
    <t xml:space="preserve">compressor </t>
  </si>
  <si>
    <t>LPM02CP001</t>
  </si>
  <si>
    <t>MS3/30 ISENTO DE OLEO</t>
  </si>
  <si>
    <t>gerar ar  comprimido</t>
  </si>
  <si>
    <t>LPM02CT008</t>
  </si>
  <si>
    <t>isomet 2000</t>
  </si>
  <si>
    <t>jica</t>
  </si>
  <si>
    <t>cortar amostras com corte delicado e precisao</t>
  </si>
  <si>
    <t>microdureza</t>
  </si>
  <si>
    <t>dureza</t>
  </si>
  <si>
    <t>LPM02DR001</t>
  </si>
  <si>
    <t>micromet 5104</t>
  </si>
  <si>
    <t>Verde Amarelo</t>
  </si>
  <si>
    <t>medir micro dureza vickers ou Knoop até 1 kg</t>
  </si>
  <si>
    <t xml:space="preserve">dureza vickers macro e micro </t>
  </si>
  <si>
    <t>LPM02DR002</t>
  </si>
  <si>
    <t>mitutoyo</t>
  </si>
  <si>
    <t>MVK-H30</t>
  </si>
  <si>
    <t xml:space="preserve">JAPONESA </t>
  </si>
  <si>
    <t xml:space="preserve">medir macro e micro dureza vickers </t>
  </si>
  <si>
    <t>macrodureza</t>
  </si>
  <si>
    <t>LPM02DR003</t>
  </si>
  <si>
    <t>até 50 kg</t>
  </si>
  <si>
    <t>chinesa</t>
  </si>
  <si>
    <t>finep /fusp</t>
  </si>
  <si>
    <t>USP 1638/0005</t>
  </si>
  <si>
    <t>medir macro  dureza vickers</t>
  </si>
  <si>
    <t>dureza rockwell</t>
  </si>
  <si>
    <t>LPM02DR004</t>
  </si>
  <si>
    <t>wilson</t>
  </si>
  <si>
    <t>3JR</t>
  </si>
  <si>
    <t xml:space="preserve">medir dureza rockwell </t>
  </si>
  <si>
    <t>ar condicionado</t>
  </si>
  <si>
    <t>LPM02AC001</t>
  </si>
  <si>
    <t>springer</t>
  </si>
  <si>
    <t>maxflex</t>
  </si>
  <si>
    <t>controle da temperatura da sala</t>
  </si>
  <si>
    <t>forno  para tratamento térmico</t>
  </si>
  <si>
    <t>forno</t>
  </si>
  <si>
    <t>EDG</t>
  </si>
  <si>
    <t xml:space="preserve">F1800 3PS </t>
  </si>
  <si>
    <t>até 1000ºC</t>
  </si>
  <si>
    <t>realizar tratamentos termicos até 1000ºC</t>
  </si>
  <si>
    <t xml:space="preserve">MUFLA </t>
  </si>
  <si>
    <t>mufla</t>
  </si>
  <si>
    <t>LPM02MF001</t>
  </si>
  <si>
    <t>05353 /003122</t>
  </si>
  <si>
    <t xml:space="preserve">balança </t>
  </si>
  <si>
    <t>balança</t>
  </si>
  <si>
    <t>LPM02BL001</t>
  </si>
  <si>
    <t>LC-10</t>
  </si>
  <si>
    <t>10Kg</t>
  </si>
  <si>
    <t xml:space="preserve">  045148 / 003127</t>
  </si>
  <si>
    <t xml:space="preserve">realIzar pesagem até 10 kg com precisãp de </t>
  </si>
  <si>
    <t>calibração nunca foi aferida com certificado</t>
  </si>
  <si>
    <t>balança de precisão</t>
  </si>
  <si>
    <t xml:space="preserve">GEHAKA </t>
  </si>
  <si>
    <t>LPM02BL002</t>
  </si>
  <si>
    <t>GEHARA</t>
  </si>
  <si>
    <t>BG-400</t>
  </si>
  <si>
    <t>400G</t>
  </si>
  <si>
    <t>83377 /000302 /016572</t>
  </si>
  <si>
    <t>realIzar pesagem até 400g com precisão de 0,001</t>
  </si>
  <si>
    <t>calibração aferida em 2018</t>
  </si>
  <si>
    <t xml:space="preserve">capela </t>
  </si>
  <si>
    <t>capela</t>
  </si>
  <si>
    <t>LPM02CA001</t>
  </si>
  <si>
    <t>braslab</t>
  </si>
  <si>
    <t>Finep -Fusp - 1261/0032</t>
  </si>
  <si>
    <t>confeccionar e realizar ataques metalograficos</t>
  </si>
  <si>
    <t>LPM02BL003</t>
  </si>
  <si>
    <t>micronal</t>
  </si>
  <si>
    <t>B6000</t>
  </si>
  <si>
    <t>6 Kg</t>
  </si>
  <si>
    <t>pesar até 6 kg</t>
  </si>
  <si>
    <t>calibraçãonunca foi aferida com certificado</t>
  </si>
  <si>
    <t>ultrassom</t>
  </si>
  <si>
    <t>LPM02UL001</t>
  </si>
  <si>
    <t>Thornton</t>
  </si>
  <si>
    <t>T7</t>
  </si>
  <si>
    <t>1 litro</t>
  </si>
  <si>
    <t>lavagem de amostras com ultrassom</t>
  </si>
  <si>
    <t>ultrassom grande</t>
  </si>
  <si>
    <t>LPM02UL002</t>
  </si>
  <si>
    <t>UNIQUE</t>
  </si>
  <si>
    <t>USC-2850</t>
  </si>
  <si>
    <t xml:space="preserve">9,5l </t>
  </si>
  <si>
    <t>lavagem de amostras com ultrassome aquecimento</t>
  </si>
  <si>
    <t xml:space="preserve">placa de aquecimento com agitador </t>
  </si>
  <si>
    <t>agitador</t>
  </si>
  <si>
    <t>LPM02AG001</t>
  </si>
  <si>
    <t xml:space="preserve">aquecer e agitar  solução </t>
  </si>
  <si>
    <t>agitador magnetico</t>
  </si>
  <si>
    <t>LPM02AG002</t>
  </si>
  <si>
    <t xml:space="preserve"> agitar  solução </t>
  </si>
  <si>
    <t>placa de aquecimento com agitador magnetico</t>
  </si>
  <si>
    <t>LPM02AG003</t>
  </si>
  <si>
    <t>stirrer</t>
  </si>
  <si>
    <t>MS300</t>
  </si>
  <si>
    <t xml:space="preserve"> agitar  solução com controle de temperatura</t>
  </si>
  <si>
    <t>secador de mão com temporizador e aquecimento</t>
  </si>
  <si>
    <t>LPM02SC002</t>
  </si>
  <si>
    <t>Brakley</t>
  </si>
  <si>
    <t xml:space="preserve">secar  amostras </t>
  </si>
  <si>
    <t xml:space="preserve">politriz bancada   P1 - 1 prato  </t>
  </si>
  <si>
    <t>politriz</t>
  </si>
  <si>
    <t>LPM02PO001</t>
  </si>
  <si>
    <t xml:space="preserve">fortel </t>
  </si>
  <si>
    <t>PFL</t>
  </si>
  <si>
    <t xml:space="preserve">politriz bancada   P3 - 1 prato  </t>
  </si>
  <si>
    <t>LPM02PO002</t>
  </si>
  <si>
    <t xml:space="preserve">PFL </t>
  </si>
  <si>
    <t xml:space="preserve">politriz bancada   P4 - 1 prato  </t>
  </si>
  <si>
    <t>LPM02PO003</t>
  </si>
  <si>
    <t>solotest</t>
  </si>
  <si>
    <t>MAXIPLAN</t>
  </si>
  <si>
    <t>32964</t>
  </si>
  <si>
    <t xml:space="preserve">politriz bancada   P5 - 1 prato  </t>
  </si>
  <si>
    <t>LPM02PO004</t>
  </si>
  <si>
    <t xml:space="preserve">solotest  </t>
  </si>
  <si>
    <t xml:space="preserve">politriz bancada   P6 - 1 prato  </t>
  </si>
  <si>
    <t>LPM02PO005</t>
  </si>
  <si>
    <t xml:space="preserve">solotest </t>
  </si>
  <si>
    <t>33049</t>
  </si>
  <si>
    <t xml:space="preserve">politriz bancada   P7 - 1 prato  </t>
  </si>
  <si>
    <t>LPM02PO006</t>
  </si>
  <si>
    <t>politriz de  2  pratos</t>
  </si>
  <si>
    <t>LPM02PO007</t>
  </si>
  <si>
    <t>Buelher</t>
  </si>
  <si>
    <t>politriz de  bancada P2 - 1 prato</t>
  </si>
  <si>
    <t>LPM02PO008</t>
  </si>
  <si>
    <t xml:space="preserve">Fortel </t>
  </si>
  <si>
    <t xml:space="preserve">politriz bancada   P8 - 1 prato  </t>
  </si>
  <si>
    <t>LPM02PO009</t>
  </si>
  <si>
    <t xml:space="preserve">Fortel  </t>
  </si>
  <si>
    <t xml:space="preserve">politriz bancada   P9 - 1 prato  </t>
  </si>
  <si>
    <t>LPM02PO010</t>
  </si>
  <si>
    <t xml:space="preserve">politriz bancada   P10 - 1 prato  </t>
  </si>
  <si>
    <t>LPM02PO011</t>
  </si>
  <si>
    <t xml:space="preserve">politriz bancada   P11 - 1 prato  </t>
  </si>
  <si>
    <t>LPM02PO012</t>
  </si>
  <si>
    <t>POLITRIZ 1 RAT</t>
  </si>
  <si>
    <t>LPM02PO013</t>
  </si>
  <si>
    <t xml:space="preserve"> STRUERS</t>
  </si>
  <si>
    <t xml:space="preserve"> DP-U3</t>
  </si>
  <si>
    <t>Dinamarca</t>
  </si>
  <si>
    <t> </t>
  </si>
  <si>
    <t>politriz automatizada 1</t>
  </si>
  <si>
    <t>LPM02PO014</t>
  </si>
  <si>
    <t xml:space="preserve">Buelher </t>
  </si>
  <si>
    <t>minimet 1000</t>
  </si>
  <si>
    <t>05/102022</t>
  </si>
  <si>
    <t>politriz automatizada 2</t>
  </si>
  <si>
    <t>LPM02PO015</t>
  </si>
  <si>
    <t xml:space="preserve"> minimet 1000</t>
  </si>
  <si>
    <t>secador 1</t>
  </si>
  <si>
    <t>LPM02SC003</t>
  </si>
  <si>
    <t>Darfon</t>
  </si>
  <si>
    <t>30767 / 003107</t>
  </si>
  <si>
    <t>secador 2</t>
  </si>
  <si>
    <t>LPM02SC004</t>
  </si>
  <si>
    <t>brakley</t>
  </si>
  <si>
    <t>ultrasom</t>
  </si>
  <si>
    <t>LPM02UL003</t>
  </si>
  <si>
    <t xml:space="preserve">Unique  </t>
  </si>
  <si>
    <t xml:space="preserve"> USC 800A</t>
  </si>
  <si>
    <t>microscopio</t>
  </si>
  <si>
    <t>nikon</t>
  </si>
  <si>
    <t>LPM02MP001</t>
  </si>
  <si>
    <t>NIKON</t>
  </si>
  <si>
    <t>epiphot 200</t>
  </si>
  <si>
    <t>1000x</t>
  </si>
  <si>
    <t xml:space="preserve">fapesp 2010 </t>
  </si>
  <si>
    <t>USP 1638/0004</t>
  </si>
  <si>
    <t>observação microscopica</t>
  </si>
  <si>
    <t>computador  do microscopio Nikon</t>
  </si>
  <si>
    <t>ZZ Parte de um equipamento</t>
  </si>
  <si>
    <t>LPM02ZZ001</t>
  </si>
  <si>
    <t xml:space="preserve">infoway </t>
  </si>
  <si>
    <t>windows 7</t>
  </si>
  <si>
    <t>003134</t>
  </si>
  <si>
    <t xml:space="preserve">realizar  fotos micrograficas  e analise quantitativa </t>
  </si>
  <si>
    <t>Carl Zeiss</t>
  </si>
  <si>
    <t>LPM02MP002</t>
  </si>
  <si>
    <t>AXIO OBSERVER Z1m</t>
  </si>
  <si>
    <t>2500x</t>
  </si>
  <si>
    <t>Interciment</t>
  </si>
  <si>
    <t xml:space="preserve">005381 / 005382 </t>
  </si>
  <si>
    <t>computador  do microscopio Carl zeiss</t>
  </si>
  <si>
    <t>computador</t>
  </si>
  <si>
    <t>LPM02CO001</t>
  </si>
  <si>
    <t xml:space="preserve">z840 </t>
  </si>
  <si>
    <t>32GB</t>
  </si>
  <si>
    <t>2X2 TB</t>
  </si>
  <si>
    <t>005311</t>
  </si>
  <si>
    <t>lupa  estereoscopica</t>
  </si>
  <si>
    <t>lupa</t>
  </si>
  <si>
    <t>LPM02LU001</t>
  </si>
  <si>
    <t>leica</t>
  </si>
  <si>
    <t>M165</t>
  </si>
  <si>
    <t>100x</t>
  </si>
  <si>
    <t>046093 / 003900</t>
  </si>
  <si>
    <t>observação imagem até 1000x em lupa</t>
  </si>
  <si>
    <t>computador  da lupa</t>
  </si>
  <si>
    <t>LPM02CO002</t>
  </si>
  <si>
    <t>infoway</t>
  </si>
  <si>
    <t>IMAGEM E FOTO LUPA</t>
  </si>
  <si>
    <t>desumidificador</t>
  </si>
  <si>
    <t>LPM02DS001</t>
  </si>
  <si>
    <t>Arsec</t>
  </si>
  <si>
    <t>160D</t>
  </si>
  <si>
    <t>006112</t>
  </si>
  <si>
    <t>LPM02AC002</t>
  </si>
  <si>
    <t>FINEP/FUSP</t>
  </si>
  <si>
    <t>Microscópio estereoscópio</t>
  </si>
  <si>
    <t>Microscopio</t>
  </si>
  <si>
    <t>LPM02MP003</t>
  </si>
  <si>
    <t>Leica</t>
  </si>
  <si>
    <t>Análise microscópica de partículas</t>
  </si>
  <si>
    <t>Sala do HDH</t>
  </si>
  <si>
    <t>Forno Tubular Vazador</t>
  </si>
  <si>
    <t>Fortelab/Inti</t>
  </si>
  <si>
    <t>FTE 1400</t>
  </si>
  <si>
    <t>IPT azul-020874</t>
  </si>
  <si>
    <t>Fusão de metais sob vácuo (ensaios de hidretação, de-hidretação, fusão de ligas de didímio e lingotamento)</t>
  </si>
  <si>
    <t>LPM03ET003</t>
  </si>
  <si>
    <t>Soc. Fabbe. Ltda</t>
  </si>
  <si>
    <t>Forno Red Devil</t>
  </si>
  <si>
    <t>LPM03FO008</t>
  </si>
  <si>
    <t>R.D. Webb Company</t>
  </si>
  <si>
    <t>Forno Red Devil 46</t>
  </si>
  <si>
    <t>Forno com resistencia de grafite para ensaios em altas temperaturas</t>
  </si>
  <si>
    <t xml:space="preserve">Mufla </t>
  </si>
  <si>
    <t>LPM03FO001</t>
  </si>
  <si>
    <t>Economic</t>
  </si>
  <si>
    <t>004781</t>
  </si>
  <si>
    <t>Tratamento térmico</t>
  </si>
  <si>
    <t>LPM03ET001</t>
  </si>
  <si>
    <t>400/5ND</t>
  </si>
  <si>
    <t>018694</t>
  </si>
  <si>
    <t>Secagem</t>
  </si>
  <si>
    <t>Rotoevaporador</t>
  </si>
  <si>
    <t>LPM03EV001</t>
  </si>
  <si>
    <t>004103</t>
  </si>
  <si>
    <t>Aquecer e evaporar</t>
  </si>
  <si>
    <t>Isomet 2000</t>
  </si>
  <si>
    <t>LPM03XX006</t>
  </si>
  <si>
    <t>Corte e seccionamento de amostras com disco diamantado para metalografia</t>
  </si>
  <si>
    <t>Chapa aquecedora agitadora</t>
  </si>
  <si>
    <t>LPM03CH001</t>
  </si>
  <si>
    <t>IKA</t>
  </si>
  <si>
    <t>RH Basic 2</t>
  </si>
  <si>
    <t>011628</t>
  </si>
  <si>
    <t>Aquecer e agitar soluções</t>
  </si>
  <si>
    <t>Isomet 1000</t>
  </si>
  <si>
    <t>LPM03XX005</t>
  </si>
  <si>
    <t>018696</t>
  </si>
  <si>
    <t>LPM03MT002</t>
  </si>
  <si>
    <t>Etica Equipamentos Cientificos S.A.</t>
  </si>
  <si>
    <t>004102</t>
  </si>
  <si>
    <t>Misturar e homogeneizar amostras particuladas</t>
  </si>
  <si>
    <t>Soxlet</t>
  </si>
  <si>
    <t>LPM03XX007</t>
  </si>
  <si>
    <t>Q321A24</t>
  </si>
  <si>
    <t>Remoção de óleo em amostras contaminadas</t>
  </si>
  <si>
    <t>Sala EB</t>
  </si>
  <si>
    <t>Forno de feixe de elétrons/Electron beam</t>
  </si>
  <si>
    <t>LPM03FO016</t>
  </si>
  <si>
    <t>LEW /veb lokomotivbau-elektrotechnische werke</t>
  </si>
  <si>
    <t>005270; 81636</t>
  </si>
  <si>
    <t>Fusão e purificação de materiais metálicos de alta temperatura</t>
  </si>
  <si>
    <t>Sala de Peneiramento</t>
  </si>
  <si>
    <t>LPM03MO002</t>
  </si>
  <si>
    <t>UB - 32</t>
  </si>
  <si>
    <t>004144</t>
  </si>
  <si>
    <t>Metlap 2000</t>
  </si>
  <si>
    <t>LPM03XX003</t>
  </si>
  <si>
    <t>Dosador de suspensão para polimento</t>
  </si>
  <si>
    <t xml:space="preserve">Ultra som </t>
  </si>
  <si>
    <t>LPM03UL001</t>
  </si>
  <si>
    <t>Vita</t>
  </si>
  <si>
    <t>T 310/25</t>
  </si>
  <si>
    <t>Limpeza ultrassônica</t>
  </si>
  <si>
    <t>LPM03UL002</t>
  </si>
  <si>
    <t>Elma</t>
  </si>
  <si>
    <t>T 310</t>
  </si>
  <si>
    <t>LPM03UL003</t>
  </si>
  <si>
    <t>US700</t>
  </si>
  <si>
    <t>004110</t>
  </si>
  <si>
    <t>Sala do Forno de cristalização de Silício- porta 4</t>
  </si>
  <si>
    <t xml:space="preserve">Forno PVA </t>
  </si>
  <si>
    <t>PVA Tepla/Stroje a Mechanizmy, a.s.</t>
  </si>
  <si>
    <t>VGF 431 Si</t>
  </si>
  <si>
    <t>Projet Si G Solar</t>
  </si>
  <si>
    <t>Fusão de Silício grau solar</t>
  </si>
  <si>
    <t xml:space="preserve">Sala do forno a vácuo com dispositivo de solidificação direcional </t>
  </si>
  <si>
    <t>Forno de indução á vácuo Daido</t>
  </si>
  <si>
    <t>Daido steel Co. Ltd.</t>
  </si>
  <si>
    <t>IVD - 5K</t>
  </si>
  <si>
    <t>34250; 012208</t>
  </si>
  <si>
    <t>Fusão de super ligas e solidificação direcional</t>
  </si>
  <si>
    <t>Sala de Serras e polimento de Silício– porta 1</t>
  </si>
  <si>
    <t xml:space="preserve">Serra de fita Opus </t>
  </si>
  <si>
    <t>LPM03SR001</t>
  </si>
  <si>
    <t>Opus cutting solutions - Bonetti Construzione Meccaniche S.R.l.</t>
  </si>
  <si>
    <t>600 TM - SIL</t>
  </si>
  <si>
    <t xml:space="preserve">Italia </t>
  </si>
  <si>
    <t>Cortes de lingotes de silicio</t>
  </si>
  <si>
    <t>Manutenção 27 09 2017</t>
  </si>
  <si>
    <t>Bomba peristáltica</t>
  </si>
  <si>
    <t>LPM03BB004</t>
  </si>
  <si>
    <t>Furue Science Co. Ltd</t>
  </si>
  <si>
    <t>N 7130</t>
  </si>
  <si>
    <t>004163</t>
  </si>
  <si>
    <t>Homogeneização de soluções</t>
  </si>
  <si>
    <t>Prensa EDU - 400</t>
  </si>
  <si>
    <t>LPM03PR004</t>
  </si>
  <si>
    <t>EDU-400</t>
  </si>
  <si>
    <t>Prensagem de amostras</t>
  </si>
  <si>
    <t>Compressor de argônio</t>
  </si>
  <si>
    <t>LPM03CP001</t>
  </si>
  <si>
    <t>VTOGX 180/125 LM-L</t>
  </si>
  <si>
    <t>Comprimir argônio para o forno PVA</t>
  </si>
  <si>
    <t xml:space="preserve">Moinho de aneis </t>
  </si>
  <si>
    <t>LPM03MO004</t>
  </si>
  <si>
    <t>Kawasaki Kobe Heavy Industries LTD</t>
  </si>
  <si>
    <t>T-100</t>
  </si>
  <si>
    <t>LPM03BL002</t>
  </si>
  <si>
    <t>Adventurer</t>
  </si>
  <si>
    <t>Fisher</t>
  </si>
  <si>
    <t>LPM03BL003</t>
  </si>
  <si>
    <t>Model 95</t>
  </si>
  <si>
    <t>004120</t>
  </si>
  <si>
    <t>Medir tamanho médio de particulas</t>
  </si>
  <si>
    <t>Sala Microscopia</t>
  </si>
  <si>
    <t>Balança Analitica</t>
  </si>
  <si>
    <t>LPM03BL005</t>
  </si>
  <si>
    <t>g</t>
  </si>
  <si>
    <t>018697</t>
  </si>
  <si>
    <t>Pesagem analítica de amostras</t>
  </si>
  <si>
    <t>LPM03BL006</t>
  </si>
  <si>
    <t>Metler Toledo</t>
  </si>
  <si>
    <t>AB204 S-FACT</t>
  </si>
  <si>
    <t>Suiça</t>
  </si>
  <si>
    <t>Forno Combustol</t>
  </si>
  <si>
    <t>LPM03FO009</t>
  </si>
  <si>
    <t>004155</t>
  </si>
  <si>
    <t>Tratamentos térmicos sob vácuo com zona fria refrigerada externamente</t>
  </si>
  <si>
    <t>Sistema de bombeamento Edwards</t>
  </si>
  <si>
    <t>LPM03BB002</t>
  </si>
  <si>
    <t>Edwards</t>
  </si>
  <si>
    <t>RV8/Diffstak 100/300</t>
  </si>
  <si>
    <t>IPT azul-38438</t>
  </si>
  <si>
    <t>Sistema para alto vácuo</t>
  </si>
  <si>
    <t>Levado para o P.3</t>
  </si>
  <si>
    <t>Cortadeira Metalografica</t>
  </si>
  <si>
    <t>LPM03XX001</t>
  </si>
  <si>
    <t>Arotec</t>
  </si>
  <si>
    <t>COR - 40</t>
  </si>
  <si>
    <t>004035</t>
  </si>
  <si>
    <t>Corte de amostras para metalografia</t>
  </si>
  <si>
    <t>Torre de Resfriamento de Líquido</t>
  </si>
  <si>
    <t>LPM03RF001</t>
  </si>
  <si>
    <t>Uniklima</t>
  </si>
  <si>
    <t>CLA60212ON</t>
  </si>
  <si>
    <t>004140</t>
  </si>
  <si>
    <t>Resfriamento do Liquido Refrigerante do Difratometro de Raios X</t>
  </si>
  <si>
    <t>Moinho Atritor</t>
  </si>
  <si>
    <t>LPM03MO001</t>
  </si>
  <si>
    <t>Union Process</t>
  </si>
  <si>
    <t>Air 01 A106</t>
  </si>
  <si>
    <t>000086</t>
  </si>
  <si>
    <t>Moinho Planetário</t>
  </si>
  <si>
    <t>LPM03MO003</t>
  </si>
  <si>
    <t>Fritzch</t>
  </si>
  <si>
    <t>Pulverisette 5</t>
  </si>
  <si>
    <t>004145</t>
  </si>
  <si>
    <t>Misturador em "V"</t>
  </si>
  <si>
    <t>LPM03MT001</t>
  </si>
  <si>
    <t>Maquinas Renard</t>
  </si>
  <si>
    <t>VM.7</t>
  </si>
  <si>
    <t>004142</t>
  </si>
  <si>
    <t>Peneiradora pequena</t>
  </si>
  <si>
    <t>LPM03PN001</t>
  </si>
  <si>
    <t>Produtest</t>
  </si>
  <si>
    <t>004906; 38338</t>
  </si>
  <si>
    <t>Peneirar material particulado para análise granulométrica</t>
  </si>
  <si>
    <t>Bomba de vácuo</t>
  </si>
  <si>
    <t>LPM03BB003</t>
  </si>
  <si>
    <t>Edwards 8</t>
  </si>
  <si>
    <t>004862</t>
  </si>
  <si>
    <t>Bomba utilizada no sistema de vácuo do forno Combustol</t>
  </si>
  <si>
    <t>Moinho de jarros</t>
  </si>
  <si>
    <t>LPM03MO006</t>
  </si>
  <si>
    <t>Engedrar/Engenheiros associados Ltda</t>
  </si>
  <si>
    <t>004893; 045170</t>
  </si>
  <si>
    <t>LPM03MT003</t>
  </si>
  <si>
    <t>Vac U Vestor</t>
  </si>
  <si>
    <t>Model B</t>
  </si>
  <si>
    <t>Lixadeira e politriz</t>
  </si>
  <si>
    <t>Lixadeira</t>
  </si>
  <si>
    <t>LPM03LX001</t>
  </si>
  <si>
    <t>Fortel</t>
  </si>
  <si>
    <t>PLF</t>
  </si>
  <si>
    <t>004897</t>
  </si>
  <si>
    <t>Lixar e polir amostras metalograficas</t>
  </si>
  <si>
    <t>LPM03LX002</t>
  </si>
  <si>
    <t>004896</t>
  </si>
  <si>
    <t>LPM03LX003</t>
  </si>
  <si>
    <t>Struers</t>
  </si>
  <si>
    <t>DP - U30</t>
  </si>
  <si>
    <t>004149</t>
  </si>
  <si>
    <t xml:space="preserve"> DTA/Dilatometro</t>
  </si>
  <si>
    <t>Dilatometro</t>
  </si>
  <si>
    <t>LPM03DL001</t>
  </si>
  <si>
    <t>Netzch</t>
  </si>
  <si>
    <t>000085</t>
  </si>
  <si>
    <t>Análises Térmicas e Dilatometria</t>
  </si>
  <si>
    <t>Balança CHYO</t>
  </si>
  <si>
    <t>LPM03BL001</t>
  </si>
  <si>
    <t>CHYO</t>
  </si>
  <si>
    <t>MJ 3000</t>
  </si>
  <si>
    <t>Embutidora</t>
  </si>
  <si>
    <t>LPM03EB001</t>
  </si>
  <si>
    <t>Tempopress</t>
  </si>
  <si>
    <t>004141</t>
  </si>
  <si>
    <t>Embutimento metalográfico de amostras</t>
  </si>
  <si>
    <t>Prensa Isostática</t>
  </si>
  <si>
    <t>LPM03PR003</t>
  </si>
  <si>
    <t>AIP</t>
  </si>
  <si>
    <t xml:space="preserve">Ar comprimido </t>
  </si>
  <si>
    <t>CP 360</t>
  </si>
  <si>
    <t>PSI</t>
  </si>
  <si>
    <t>021489</t>
  </si>
  <si>
    <t>Compressão isostática de amostras</t>
  </si>
  <si>
    <t>Serra de fio Weel</t>
  </si>
  <si>
    <t>LPM03SR002</t>
  </si>
  <si>
    <t>Well</t>
  </si>
  <si>
    <t>USA</t>
  </si>
  <si>
    <t>Cortes de laminas de silicio</t>
  </si>
  <si>
    <t xml:space="preserve">Moinho de anéis </t>
  </si>
  <si>
    <t>LPM03MO005</t>
  </si>
  <si>
    <t>Chemplex Industries,inc</t>
  </si>
  <si>
    <t>N° 5000</t>
  </si>
  <si>
    <t>82960; 000640</t>
  </si>
  <si>
    <t>Peneiradora grande</t>
  </si>
  <si>
    <t>LPM03PN002</t>
  </si>
  <si>
    <t>MVL máquinas vibratorias Ltda/Donar</t>
  </si>
  <si>
    <t>N° 2584</t>
  </si>
  <si>
    <t>004901; 045754</t>
  </si>
  <si>
    <t>Automet 2</t>
  </si>
  <si>
    <t>LPM03XX004</t>
  </si>
  <si>
    <t>Politriz Automatica de amostras metalográficas</t>
  </si>
  <si>
    <t>LPM03CA001</t>
  </si>
  <si>
    <t>Braslab</t>
  </si>
  <si>
    <t>004105</t>
  </si>
  <si>
    <t>Manuseio de substâncias com vapores tóxicos e/ou ácidos</t>
  </si>
  <si>
    <t xml:space="preserve">Bomba de vácuo </t>
  </si>
  <si>
    <t>LPM03BB001</t>
  </si>
  <si>
    <t>Vacuum Impregnation Pump</t>
  </si>
  <si>
    <t>Fazer vácuo</t>
  </si>
  <si>
    <t>Lupa</t>
  </si>
  <si>
    <t>LPM03LU001</t>
  </si>
  <si>
    <t>Wild Heerbrugg</t>
  </si>
  <si>
    <t>x</t>
  </si>
  <si>
    <t>004114</t>
  </si>
  <si>
    <t>Amplificação óptica de amostras</t>
  </si>
  <si>
    <t>Aspirador de pó Aspo New Japan</t>
  </si>
  <si>
    <t>LPM03AS002</t>
  </si>
  <si>
    <t>New Japan</t>
  </si>
  <si>
    <t>Asp500</t>
  </si>
  <si>
    <t>Limpeza de camara do forno Daido e Electron beam</t>
  </si>
  <si>
    <t>Estufa grande</t>
  </si>
  <si>
    <t>LPM03ET002</t>
  </si>
  <si>
    <t>Ética Equipamentos Científicos S.A.</t>
  </si>
  <si>
    <t>033740; 012209</t>
  </si>
  <si>
    <t>Talha elétrica 1000Kg</t>
  </si>
  <si>
    <t>Talha</t>
  </si>
  <si>
    <t>LPM03TA001</t>
  </si>
  <si>
    <t>Stahl Krane Systems</t>
  </si>
  <si>
    <t>013647; 013646; 048137</t>
  </si>
  <si>
    <t>Transporte de cargas na sala do forno PVA</t>
  </si>
  <si>
    <t>Glove Box</t>
  </si>
  <si>
    <t>LPM03XX008</t>
  </si>
  <si>
    <t>Labconco</t>
  </si>
  <si>
    <t>IPT vermelha-83441 e IPT vermelha-000641</t>
  </si>
  <si>
    <t>Manipulação de materiais em atmosfera controlada (ensaios de moagem anóxica)</t>
  </si>
  <si>
    <t>LPM03BL004</t>
  </si>
  <si>
    <t>Pesagem de amostras</t>
  </si>
  <si>
    <t>Unidade de refrigeração</t>
  </si>
  <si>
    <t>LPM03RE001</t>
  </si>
  <si>
    <t>Unidade refrigeradora de água para a zona fria do forno Combustol</t>
  </si>
  <si>
    <t>Sistema de medição</t>
  </si>
  <si>
    <t>LPM03XX009</t>
  </si>
  <si>
    <t>HPS</t>
  </si>
  <si>
    <t>937 Gauge Controller</t>
  </si>
  <si>
    <t>Medições de nível de vácuo no forno Combustol</t>
  </si>
  <si>
    <t>LPM03FO011</t>
  </si>
  <si>
    <t>000088</t>
  </si>
  <si>
    <t xml:space="preserve">Microscópio </t>
  </si>
  <si>
    <t>LPM03MP001</t>
  </si>
  <si>
    <t>Neophot 30</t>
  </si>
  <si>
    <t>Neophot</t>
  </si>
  <si>
    <t>000308</t>
  </si>
  <si>
    <t>Observação de amostras microscópicas</t>
  </si>
  <si>
    <t>LPM03MP002</t>
  </si>
  <si>
    <t>DM RXE</t>
  </si>
  <si>
    <t>LPM03MP003</t>
  </si>
  <si>
    <t>Zeizz</t>
  </si>
  <si>
    <t>004076</t>
  </si>
  <si>
    <t>LPM03MP004</t>
  </si>
  <si>
    <t>004075</t>
  </si>
  <si>
    <t>Micrometro</t>
  </si>
  <si>
    <t>LPM03MM001</t>
  </si>
  <si>
    <t>Mitutoyo</t>
  </si>
  <si>
    <t>Aferir dimensões lineares</t>
  </si>
  <si>
    <t>LPM03MM002</t>
  </si>
  <si>
    <t>Paquimetro</t>
  </si>
  <si>
    <t>LPM03PQ001</t>
  </si>
  <si>
    <t>500 - 144</t>
  </si>
  <si>
    <t>LPM03PQ002</t>
  </si>
  <si>
    <t>misturador simpson heroult</t>
  </si>
  <si>
    <t>misturador</t>
  </si>
  <si>
    <t>LPM03MT004</t>
  </si>
  <si>
    <t>simpson</t>
  </si>
  <si>
    <t>simpson mix muller</t>
  </si>
  <si>
    <t>006707/18592</t>
  </si>
  <si>
    <t>misturar massas e cimentosrefratarios</t>
  </si>
  <si>
    <t>aguardando instalacao</t>
  </si>
  <si>
    <t>R61396/22</t>
  </si>
  <si>
    <t>Sala de caracterizaçao de pos</t>
  </si>
  <si>
    <t>FT4</t>
  </si>
  <si>
    <t>LPM03XX011</t>
  </si>
  <si>
    <t>Sala HDH</t>
  </si>
  <si>
    <t>Balança Marte LC 50 HDH</t>
  </si>
  <si>
    <t>LPM03BL008</t>
  </si>
  <si>
    <t>sem numero</t>
  </si>
  <si>
    <t>Pesagens Diversas</t>
  </si>
  <si>
    <t>Sala Forno Alemão PVA</t>
  </si>
  <si>
    <t>Classificador Produtest</t>
  </si>
  <si>
    <t>LPM03CG001</t>
  </si>
  <si>
    <t>38338 e 004906</t>
  </si>
  <si>
    <t>Classificação Granulométrica</t>
  </si>
  <si>
    <t>Forno PVA Alemão</t>
  </si>
  <si>
    <t>LPM03FO018</t>
  </si>
  <si>
    <t>PVA Tepla</t>
  </si>
  <si>
    <t>Moyses</t>
  </si>
  <si>
    <t>Cristalização de silicio</t>
  </si>
  <si>
    <t>Analisador de gases FTIR</t>
  </si>
  <si>
    <t>LPM03AQ001</t>
  </si>
  <si>
    <t>MKS</t>
  </si>
  <si>
    <t>Nitrogênio</t>
  </si>
  <si>
    <t>Determinação de PFCs no gás efluente</t>
  </si>
  <si>
    <t>Em instalação</t>
  </si>
  <si>
    <t>Forno Lindberg Blue</t>
  </si>
  <si>
    <t>LPM04FO007</t>
  </si>
  <si>
    <t>Lindberg Blue</t>
  </si>
  <si>
    <t>STF 54434 C</t>
  </si>
  <si>
    <t>82942</t>
  </si>
  <si>
    <t>Forno elétrico tubular para ensaio de gota sessil e de redução de pelotas.</t>
  </si>
  <si>
    <t>estufa de eletrodos</t>
  </si>
  <si>
    <t>savi estufas</t>
  </si>
  <si>
    <t>20531</t>
  </si>
  <si>
    <t>secagem de eletrodos</t>
  </si>
  <si>
    <t>aguardando instalação</t>
  </si>
  <si>
    <t>FORNO MUFLA 1200ºC</t>
  </si>
  <si>
    <t>LPM04FO001</t>
  </si>
  <si>
    <t>VAC</t>
  </si>
  <si>
    <t>CAMARA-MG</t>
  </si>
  <si>
    <t>IPT 004937/34314</t>
  </si>
  <si>
    <t>FORNO PARA TRATAMENTO TÉRMICO</t>
  </si>
  <si>
    <t>FORNO MUFLA 500ºC</t>
  </si>
  <si>
    <t>LPM04FO002</t>
  </si>
  <si>
    <t>EDGCON-5P</t>
  </si>
  <si>
    <t>IPT 013181</t>
  </si>
  <si>
    <t>maquina de solda esab scandia</t>
  </si>
  <si>
    <t>LPM04SO004</t>
  </si>
  <si>
    <t>26800/013137/35999</t>
  </si>
  <si>
    <t>maquina de solda scandia numero 2</t>
  </si>
  <si>
    <t>LPM04SO005</t>
  </si>
  <si>
    <t>PRENSA MECANICA</t>
  </si>
  <si>
    <t>LPM04PR001</t>
  </si>
  <si>
    <t>LUXOR</t>
  </si>
  <si>
    <t>MAXIFORGE - UC</t>
  </si>
  <si>
    <t>Projeto Danos</t>
  </si>
  <si>
    <t>IPT 019936</t>
  </si>
  <si>
    <t>ENSAIO DE MARTELAMENTO E/OU PRENSAGEM</t>
  </si>
  <si>
    <t>torno romi</t>
  </si>
  <si>
    <t>LPM04FE008</t>
  </si>
  <si>
    <t>romi</t>
  </si>
  <si>
    <t>T-240</t>
  </si>
  <si>
    <t>21960</t>
  </si>
  <si>
    <t>LAMINADOR</t>
  </si>
  <si>
    <t>Laminador</t>
  </si>
  <si>
    <t>LPM04LM001</t>
  </si>
  <si>
    <t>STANAT</t>
  </si>
  <si>
    <t>STANAT TA 315</t>
  </si>
  <si>
    <t>AMERICANA</t>
  </si>
  <si>
    <t>ENSAIO DE LAMINAÇÃO</t>
  </si>
  <si>
    <t>Torres</t>
  </si>
  <si>
    <t>Bomba de agua fria 1</t>
  </si>
  <si>
    <t>BAF 1</t>
  </si>
  <si>
    <t>KSB</t>
  </si>
  <si>
    <t>Meganorm</t>
  </si>
  <si>
    <t>025515</t>
  </si>
  <si>
    <t>Bombear agua para os fornos</t>
  </si>
  <si>
    <t>FORNO A INDUÇÃO</t>
  </si>
  <si>
    <t>LPM04FO003</t>
  </si>
  <si>
    <t>IPE/CHESTON - INDUCTHERM</t>
  </si>
  <si>
    <t>CHESTON</t>
  </si>
  <si>
    <t>159.100,00/Projeto Danos</t>
  </si>
  <si>
    <t>17880</t>
  </si>
  <si>
    <t>FORNO PARA AQUECIMENTO DE PLACAS PARA ENSAIO DE LAMINAÇÃO E FORJAMENTO/PRENSAGEM</t>
  </si>
  <si>
    <t>fresa universal romi U-30</t>
  </si>
  <si>
    <t>LPM04FE014</t>
  </si>
  <si>
    <t>U-30</t>
  </si>
  <si>
    <t>49812/012126/05824</t>
  </si>
  <si>
    <t>fresa</t>
  </si>
  <si>
    <t>retifica mitutoyo</t>
  </si>
  <si>
    <t>LPM04FE011</t>
  </si>
  <si>
    <t>filé</t>
  </si>
  <si>
    <t>MSG-60</t>
  </si>
  <si>
    <t>19914</t>
  </si>
  <si>
    <t>retífica</t>
  </si>
  <si>
    <t>torno nardini</t>
  </si>
  <si>
    <t>LPM04FE013</t>
  </si>
  <si>
    <t>Nardini</t>
  </si>
  <si>
    <t>DT-650</t>
  </si>
  <si>
    <t>10429/05672/012174</t>
  </si>
  <si>
    <t>AUTOMAÇÃO LAMINADOR</t>
  </si>
  <si>
    <t>LPM04LM002</t>
  </si>
  <si>
    <t>ARM</t>
  </si>
  <si>
    <t>17939</t>
  </si>
  <si>
    <t>ENSAIO DE LAMINAÇÃO AUTOMATIZADO</t>
  </si>
  <si>
    <t>fresa kone</t>
  </si>
  <si>
    <t>LPM04FE004</t>
  </si>
  <si>
    <t>kone</t>
  </si>
  <si>
    <t>Filé</t>
  </si>
  <si>
    <t>X6325</t>
  </si>
  <si>
    <t>21961</t>
  </si>
  <si>
    <t>em funcionemento</t>
  </si>
  <si>
    <t>torno imor</t>
  </si>
  <si>
    <t>LPM04FE007</t>
  </si>
  <si>
    <t>imor</t>
  </si>
  <si>
    <t>italia/roma</t>
  </si>
  <si>
    <t>012173/05675/36246</t>
  </si>
  <si>
    <t>serra do all</t>
  </si>
  <si>
    <t>LPM04SR003</t>
  </si>
  <si>
    <t>DoAll</t>
  </si>
  <si>
    <t>ZW-3620</t>
  </si>
  <si>
    <t>10420/001901/80120</t>
  </si>
  <si>
    <t>ROBÔ KUKA</t>
  </si>
  <si>
    <t>Robô</t>
  </si>
  <si>
    <t>LPM04RB001</t>
  </si>
  <si>
    <t>KUKA</t>
  </si>
  <si>
    <t>KRC4</t>
  </si>
  <si>
    <t>ALEMÃ</t>
  </si>
  <si>
    <t>499.998,00/Projeto Danos</t>
  </si>
  <si>
    <t>IPT 019937</t>
  </si>
  <si>
    <t>ROBÔ UTILIZADO NA PRENSA MECÂNICA</t>
  </si>
  <si>
    <t>serra de fita starret vertical</t>
  </si>
  <si>
    <t>starret</t>
  </si>
  <si>
    <t>francisco/filé</t>
  </si>
  <si>
    <t>S-2020</t>
  </si>
  <si>
    <t>22433</t>
  </si>
  <si>
    <t>serra</t>
  </si>
  <si>
    <t>serra starret horizontal</t>
  </si>
  <si>
    <t>LPM04SR002</t>
  </si>
  <si>
    <t>S 4230-H4</t>
  </si>
  <si>
    <t>20457</t>
  </si>
  <si>
    <t>esmeril asten</t>
  </si>
  <si>
    <t>LPM04FE009</t>
  </si>
  <si>
    <t>asten</t>
  </si>
  <si>
    <t>10443/012194/05680</t>
  </si>
  <si>
    <t>furadeira yadoya</t>
  </si>
  <si>
    <t>LPM04FE003</t>
  </si>
  <si>
    <t>yadoya</t>
  </si>
  <si>
    <t>FY-S25</t>
  </si>
  <si>
    <t>18214/10417/012124</t>
  </si>
  <si>
    <t>furadeira</t>
  </si>
  <si>
    <t>lixadeira reico-calfran</t>
  </si>
  <si>
    <t>LPM04LX001</t>
  </si>
  <si>
    <t>reico</t>
  </si>
  <si>
    <t>004114/4776</t>
  </si>
  <si>
    <t>R70932/22 de 16/09/22</t>
  </si>
  <si>
    <t>esmeril super sesper</t>
  </si>
  <si>
    <t>LPM04FE010</t>
  </si>
  <si>
    <t>super sesper</t>
  </si>
  <si>
    <t>10442/05681</t>
  </si>
  <si>
    <t>LPM04DT003</t>
  </si>
  <si>
    <t>TASC 414/3 STA 409</t>
  </si>
  <si>
    <t>IPT cinza-004878, IPT cinza-017766 e IPT cinza-004877</t>
  </si>
  <si>
    <t>Spectrometro</t>
  </si>
  <si>
    <t>LPM04ES001</t>
  </si>
  <si>
    <t>MKS NGS Division MKS Instruments Inc.</t>
  </si>
  <si>
    <t>IPT vermelha-005674, IPT vermelha-82953, IPT vermelha-82954(TCP Pfeiffer Vacuum), IPT vermelha-005675(Notebook Satellite) e IPT vermelha-000632(bomba de vácuo)</t>
  </si>
  <si>
    <t>Aguardando o descarte</t>
  </si>
  <si>
    <t>Controlador do forno Lindberg Blue</t>
  </si>
  <si>
    <t>LPM04ZZ001</t>
  </si>
  <si>
    <t>82943</t>
  </si>
  <si>
    <t>furadeira itatiaia</t>
  </si>
  <si>
    <t>itatiaia</t>
  </si>
  <si>
    <t>012122/16244/1658</t>
  </si>
  <si>
    <t>esmeril emr-01</t>
  </si>
  <si>
    <t>LPM04FE005</t>
  </si>
  <si>
    <t>01308/007566</t>
  </si>
  <si>
    <t>furadeira de bancada ferrari</t>
  </si>
  <si>
    <t>LPM04FE006</t>
  </si>
  <si>
    <t>ferrari</t>
  </si>
  <si>
    <t>044933/007565</t>
  </si>
  <si>
    <t>furadeira de bancada</t>
  </si>
  <si>
    <t>problema na cremalheira</t>
  </si>
  <si>
    <t>r70780/22 de 14/09/22</t>
  </si>
  <si>
    <t>prensa marcon</t>
  </si>
  <si>
    <t>LPM04PR002</t>
  </si>
  <si>
    <t>marcon</t>
  </si>
  <si>
    <t>20706</t>
  </si>
  <si>
    <t>prensa</t>
  </si>
  <si>
    <t>com vazamento de óleo</t>
  </si>
  <si>
    <t>calandra</t>
  </si>
  <si>
    <t>LPM04FE012</t>
  </si>
  <si>
    <t>10445</t>
  </si>
  <si>
    <t>curvatura de chapas</t>
  </si>
  <si>
    <t>Sistema de moldagem areia/resina</t>
  </si>
  <si>
    <t>Calibrador traçador de altura</t>
  </si>
  <si>
    <t>LPM04FE017</t>
  </si>
  <si>
    <t>012204</t>
  </si>
  <si>
    <t>Ferramenta de medição</t>
  </si>
  <si>
    <t>Calibrador traçador de diametro interno</t>
  </si>
  <si>
    <t>LPM04FE018</t>
  </si>
  <si>
    <t>012203</t>
  </si>
  <si>
    <t>Micrometro externo mecanico</t>
  </si>
  <si>
    <t>LPM04FE019</t>
  </si>
  <si>
    <t>47066</t>
  </si>
  <si>
    <t>Of. Mecancia</t>
  </si>
  <si>
    <t>Paquimetro para serviços pesados 600mm</t>
  </si>
  <si>
    <t>LPM04FE020</t>
  </si>
  <si>
    <t>012205</t>
  </si>
  <si>
    <t>Relógio comparador</t>
  </si>
  <si>
    <t>LPM04FE021</t>
  </si>
  <si>
    <t>17770</t>
  </si>
  <si>
    <t>Micrometro externo mecanico Tesa 0 a 25mm</t>
  </si>
  <si>
    <t>LPM04FE022</t>
  </si>
  <si>
    <t>Tesa</t>
  </si>
  <si>
    <t>15907</t>
  </si>
  <si>
    <t>Micrometro externo mecanico 25 a 50mm</t>
  </si>
  <si>
    <t>LPM04FE023</t>
  </si>
  <si>
    <t>23501</t>
  </si>
  <si>
    <t>Relogio comparador interno Schnelltaster 10 a 30mm</t>
  </si>
  <si>
    <t>LPM04FE024</t>
  </si>
  <si>
    <t>Schnelltaster</t>
  </si>
  <si>
    <t>47065</t>
  </si>
  <si>
    <t>Micrometro externo mecanico Tesa 25 a 50mm</t>
  </si>
  <si>
    <t>LPM04FE025</t>
  </si>
  <si>
    <t>15908</t>
  </si>
  <si>
    <t>Micrometro para medição de profundidade 0.01mm</t>
  </si>
  <si>
    <t>LPM04FE026</t>
  </si>
  <si>
    <t>15906</t>
  </si>
  <si>
    <t>Micrometro externo mecanico 50 a 75mm</t>
  </si>
  <si>
    <t>LPM04FE027</t>
  </si>
  <si>
    <t>21374</t>
  </si>
  <si>
    <t>Micrometro externo mecanico 100 a 125mm</t>
  </si>
  <si>
    <t>LPM04FE028</t>
  </si>
  <si>
    <t>012202</t>
  </si>
  <si>
    <t>Compressor de ar PEG</t>
  </si>
  <si>
    <t>LPM04CP002</t>
  </si>
  <si>
    <t>PEG</t>
  </si>
  <si>
    <t>005149</t>
  </si>
  <si>
    <t>Geração de ar comprimido</t>
  </si>
  <si>
    <t>Pirometro de Imersão ForneroII</t>
  </si>
  <si>
    <t>LPM04FE029</t>
  </si>
  <si>
    <t>Italterm</t>
  </si>
  <si>
    <t>Fornero II</t>
  </si>
  <si>
    <t>043190 e 004854</t>
  </si>
  <si>
    <t>Medição de temperatura</t>
  </si>
  <si>
    <t>Possuui Manual</t>
  </si>
  <si>
    <t>Fornos de fusão</t>
  </si>
  <si>
    <t>Forno de indução ao ar com capacidade até 500 kg de aço</t>
  </si>
  <si>
    <t>Pillar</t>
  </si>
  <si>
    <t>Forno de indução ao ar com capacidade até 50 kg de aço</t>
  </si>
  <si>
    <t>LPM05FO002</t>
  </si>
  <si>
    <t>Inducto</t>
  </si>
  <si>
    <t>Muflas</t>
  </si>
  <si>
    <t>LPM05FO003</t>
  </si>
  <si>
    <t>Fornos para tratamentos térmicos</t>
  </si>
  <si>
    <t>Indução</t>
  </si>
  <si>
    <t>LPM05FO004</t>
  </si>
  <si>
    <t>Tubular a vácuo ou atmosfera de H2</t>
  </si>
  <si>
    <t>LPM05FO005</t>
  </si>
  <si>
    <t>Forno rotativo (até 1700°C)</t>
  </si>
  <si>
    <t>LPM05FO006</t>
  </si>
  <si>
    <t>Injetora de alumínio - força de fechamento 210 kN, pressão de injeção 140 bar, curso pistão 50 mm</t>
  </si>
  <si>
    <t>LPM05XX001</t>
  </si>
  <si>
    <t>Frech</t>
  </si>
  <si>
    <t>QC210</t>
  </si>
  <si>
    <t>Injetora de Alumínio</t>
  </si>
  <si>
    <t>Forno dosador com capacidade de 600 kg de Al</t>
  </si>
  <si>
    <t>LPM05FO007</t>
  </si>
  <si>
    <t>Manipulador de peças até 4 kg com sensores para falha de enchimento</t>
  </si>
  <si>
    <t>LPM05RB001</t>
  </si>
  <si>
    <t>Forno de fusão com desgaseificador</t>
  </si>
  <si>
    <t>LPM05FO008</t>
  </si>
  <si>
    <t>Unidade fundição de precisão por cera perdida</t>
  </si>
  <si>
    <t>LPM05XX002</t>
  </si>
  <si>
    <t>Máquina centrífuga horizontal com capacidade de 100 kg</t>
  </si>
  <si>
    <t>LPM05CE001</t>
  </si>
  <si>
    <t>Equipamentos de ensaio de fadiga térmica</t>
  </si>
  <si>
    <t>LPM05XX003</t>
  </si>
  <si>
    <t>Aquecedor de panelas com queimador a gás natural (capacidade para pré-aquecer panelas com capacidade de conter até 1 tonelada de aço)</t>
  </si>
  <si>
    <t>LPM05XX004</t>
  </si>
  <si>
    <t>LPM10AG002</t>
  </si>
  <si>
    <t>Não encontrado</t>
  </si>
  <si>
    <t>Equipamento não encontrado</t>
  </si>
  <si>
    <t>SL-60</t>
  </si>
  <si>
    <t>Bomba Centrífuga**</t>
  </si>
  <si>
    <t>LPM10BB004</t>
  </si>
  <si>
    <t>11/2" x 1" - UND AA</t>
  </si>
  <si>
    <t>Alimentar o classificador</t>
  </si>
  <si>
    <t>Circuito de moagem a úmido</t>
  </si>
  <si>
    <t>Moer Materiais a umido</t>
  </si>
  <si>
    <t>Peneira Vibratória</t>
  </si>
  <si>
    <t>LPM10PN005</t>
  </si>
  <si>
    <t>Koltbaq</t>
  </si>
  <si>
    <t>Classificação de materiais via úmida</t>
  </si>
  <si>
    <t>LPM10PH002</t>
  </si>
  <si>
    <t>MA-522</t>
  </si>
  <si>
    <t>medir pH nanopartículas</t>
  </si>
  <si>
    <t>Armário das peneiras</t>
  </si>
  <si>
    <t>LPM10XX008</t>
  </si>
  <si>
    <t>Tirar da lista</t>
  </si>
  <si>
    <t>Dessecador (novos)</t>
  </si>
  <si>
    <t>LPM10XX009</t>
  </si>
  <si>
    <t>Preservação de umidade de materiais</t>
  </si>
  <si>
    <t>LPM10XX010</t>
  </si>
  <si>
    <t>Extrusora</t>
  </si>
  <si>
    <t>S-30-PR-M</t>
  </si>
  <si>
    <t xml:space="preserve">Brasileira </t>
  </si>
  <si>
    <t>Ensaios de resistência à compressão</t>
  </si>
  <si>
    <t>Lutz Ferrando</t>
  </si>
  <si>
    <t>Estufa de secagem (antiga)</t>
  </si>
  <si>
    <t>LPM10ET004</t>
  </si>
  <si>
    <t>LPM10ET005</t>
  </si>
  <si>
    <t>SOC. FABBE</t>
  </si>
  <si>
    <t>secagem de materiais a baixa temperatura</t>
  </si>
  <si>
    <t>Politriz</t>
  </si>
  <si>
    <t>Bomba de polpa**</t>
  </si>
  <si>
    <t>LPM10BB005</t>
  </si>
  <si>
    <t>Envirotech</t>
  </si>
  <si>
    <t>AA-6.5</t>
  </si>
  <si>
    <t>Bombear polpas</t>
  </si>
  <si>
    <t>LPM10MO014</t>
  </si>
  <si>
    <t>100 kg/h</t>
  </si>
  <si>
    <t>Moer materiais para ensaio</t>
  </si>
  <si>
    <t>Peneira vibratória**</t>
  </si>
  <si>
    <t>LPM10PN007</t>
  </si>
  <si>
    <t>Mavi-Hude</t>
  </si>
  <si>
    <t>300 kg/h</t>
  </si>
  <si>
    <t>Classificar sólidos</t>
  </si>
  <si>
    <t>Peneirador**</t>
  </si>
  <si>
    <t>LPM10PN008</t>
  </si>
  <si>
    <t>Maquibrit</t>
  </si>
  <si>
    <t>Tabela de junção de números de patrimônio alternativos para aqueles equipamentos que têm mais de um número de patrimônio</t>
  </si>
  <si>
    <t>OBS: tabela abaixo tem data validation da linha 4 até linha 220</t>
  </si>
  <si>
    <t>ID sistema</t>
  </si>
  <si>
    <t>Nome do sistema</t>
  </si>
  <si>
    <t>Contagem na planilha INPUT</t>
  </si>
  <si>
    <t>Porcentagem dos registros</t>
  </si>
  <si>
    <t>ID sistema alternativo</t>
  </si>
  <si>
    <t>Número de patrimônio alternativo</t>
  </si>
  <si>
    <t>CETESB JICA</t>
  </si>
  <si>
    <t>CETESB-B</t>
  </si>
  <si>
    <t>Preparado para o seguinte número de tipos:</t>
  </si>
  <si>
    <t>numero de pares:</t>
  </si>
  <si>
    <t>ID</t>
  </si>
  <si>
    <t>Tipo equipamento</t>
  </si>
  <si>
    <t>Sigla</t>
  </si>
  <si>
    <t>Problemas</t>
  </si>
  <si>
    <t>LEN(equip)</t>
  </si>
  <si>
    <t>LEN(sigla)</t>
  </si>
  <si>
    <t>e + ID</t>
  </si>
  <si>
    <t>s + ID</t>
  </si>
  <si>
    <t>sort e+ID</t>
  </si>
  <si>
    <t>sort s+ID</t>
  </si>
  <si>
    <t>e</t>
  </si>
  <si>
    <t>s</t>
  </si>
  <si>
    <t>dupe e</t>
  </si>
  <si>
    <t>dupe s</t>
  </si>
  <si>
    <t>match e</t>
  </si>
  <si>
    <t>match s</t>
  </si>
  <si>
    <t>Problema</t>
  </si>
  <si>
    <t>pares validos</t>
  </si>
  <si>
    <t>sorted pares validos</t>
  </si>
  <si>
    <t>sorted pares validos limpos</t>
  </si>
  <si>
    <t>contagem</t>
  </si>
  <si>
    <t>IDs sorted pares</t>
  </si>
  <si>
    <t>sorted 2-key</t>
  </si>
  <si>
    <t>codigos sorted</t>
  </si>
  <si>
    <t>grupos</t>
  </si>
  <si>
    <t>grupos limpo</t>
  </si>
  <si>
    <t>sorted contagem limpo</t>
  </si>
  <si>
    <t>clean 1</t>
  </si>
  <si>
    <t>clean 2</t>
  </si>
  <si>
    <t>swap cols, negative</t>
  </si>
  <si>
    <t>resort</t>
  </si>
  <si>
    <t>swap cols, positive</t>
  </si>
  <si>
    <t>repetitions</t>
  </si>
  <si>
    <t>siglas</t>
  </si>
  <si>
    <t>scaled</t>
  </si>
  <si>
    <t>grupos, item 1</t>
  </si>
  <si>
    <t>DR</t>
  </si>
  <si>
    <t>AG</t>
  </si>
  <si>
    <t>AP</t>
  </si>
  <si>
    <t>AQ</t>
  </si>
  <si>
    <t>AC</t>
  </si>
  <si>
    <t>AS</t>
  </si>
  <si>
    <t>AT</t>
  </si>
  <si>
    <t>teste1</t>
  </si>
  <si>
    <t>BL</t>
  </si>
  <si>
    <t>BA</t>
  </si>
  <si>
    <t>teste2</t>
  </si>
  <si>
    <t>ZY</t>
  </si>
  <si>
    <t>BB</t>
  </si>
  <si>
    <t>BQ</t>
  </si>
  <si>
    <t>BR</t>
  </si>
  <si>
    <t>CA</t>
  </si>
  <si>
    <t>CF</t>
  </si>
  <si>
    <t>CE</t>
  </si>
  <si>
    <t>CH</t>
  </si>
  <si>
    <t>teste3</t>
  </si>
  <si>
    <t>ZX</t>
  </si>
  <si>
    <t>CC</t>
  </si>
  <si>
    <t>CG</t>
  </si>
  <si>
    <t>CP</t>
  </si>
  <si>
    <t>ZW</t>
  </si>
  <si>
    <t>CT</t>
  </si>
  <si>
    <t>CR</t>
  </si>
  <si>
    <t>DE</t>
  </si>
  <si>
    <t>DS</t>
  </si>
  <si>
    <t>DF</t>
  </si>
  <si>
    <t>DL</t>
  </si>
  <si>
    <t>DI</t>
  </si>
  <si>
    <t>DO</t>
  </si>
  <si>
    <t>DT</t>
  </si>
  <si>
    <t>EB</t>
  </si>
  <si>
    <t>EP</t>
  </si>
  <si>
    <t>ES</t>
  </si>
  <si>
    <t>ET</t>
  </si>
  <si>
    <t>EV</t>
  </si>
  <si>
    <t>FE</t>
  </si>
  <si>
    <t>FI</t>
  </si>
  <si>
    <t>FO</t>
  </si>
  <si>
    <t>LM</t>
  </si>
  <si>
    <t>LV</t>
  </si>
  <si>
    <t>LX</t>
  </si>
  <si>
    <t>MM</t>
  </si>
  <si>
    <t>MP</t>
  </si>
  <si>
    <t>MT</t>
  </si>
  <si>
    <t>MO</t>
  </si>
  <si>
    <t>XX</t>
  </si>
  <si>
    <t>PQ</t>
  </si>
  <si>
    <t>PT</t>
  </si>
  <si>
    <t>Peletizadora</t>
  </si>
  <si>
    <t>PE</t>
  </si>
  <si>
    <t>PN</t>
  </si>
  <si>
    <t>PH</t>
  </si>
  <si>
    <t>PR</t>
  </si>
  <si>
    <t>PA</t>
  </si>
  <si>
    <t>PG</t>
  </si>
  <si>
    <t>QT</t>
  </si>
  <si>
    <t>QE</t>
  </si>
  <si>
    <t>RT</t>
  </si>
  <si>
    <t>RE</t>
  </si>
  <si>
    <t>RF</t>
  </si>
  <si>
    <t>RB</t>
  </si>
  <si>
    <t>SC</t>
  </si>
  <si>
    <t>SL</t>
  </si>
  <si>
    <t>SD</t>
  </si>
  <si>
    <t>SE</t>
  </si>
  <si>
    <t>SM</t>
  </si>
  <si>
    <t>SR</t>
  </si>
  <si>
    <t>SO</t>
  </si>
  <si>
    <t>TA</t>
  </si>
  <si>
    <t>TP</t>
  </si>
  <si>
    <t>UL</t>
  </si>
  <si>
    <t>VE</t>
  </si>
  <si>
    <t>ZZ</t>
  </si>
  <si>
    <t>ZV</t>
  </si>
  <si>
    <t>teste4</t>
  </si>
  <si>
    <t>PO</t>
  </si>
  <si>
    <t>CO</t>
  </si>
  <si>
    <t>MF</t>
  </si>
  <si>
    <t>Número de registros com Cod_auto</t>
  </si>
  <si>
    <t>Tipos de moedas (campo "custo de aquisição")</t>
  </si>
  <si>
    <t>Prédios</t>
  </si>
  <si>
    <t>Responsavel</t>
  </si>
  <si>
    <t>Nome</t>
  </si>
  <si>
    <t>Símbolo</t>
  </si>
  <si>
    <t>Contagem</t>
  </si>
  <si>
    <t>%</t>
  </si>
  <si>
    <t>Número</t>
  </si>
  <si>
    <t>Local</t>
  </si>
  <si>
    <t>Inválido</t>
  </si>
  <si>
    <t>pre</t>
  </si>
  <si>
    <t>Desconhecido</t>
  </si>
  <si>
    <t>Preenchido "sem moeda"</t>
  </si>
  <si>
    <t>Preenchido "sem prédio"</t>
  </si>
  <si>
    <t>Real Brasileiro</t>
  </si>
  <si>
    <t>R$</t>
  </si>
  <si>
    <t>USD</t>
  </si>
  <si>
    <t>Dólar dos EUA</t>
  </si>
  <si>
    <t>US$</t>
  </si>
  <si>
    <t>EUR</t>
  </si>
  <si>
    <t>Euro</t>
  </si>
  <si>
    <t>€</t>
  </si>
  <si>
    <t>GBP</t>
  </si>
  <si>
    <t>Libra esterlina</t>
  </si>
  <si>
    <t>£</t>
  </si>
  <si>
    <t>Cr$</t>
  </si>
  <si>
    <t>Cruzeiro</t>
  </si>
  <si>
    <t>NCr$</t>
  </si>
  <si>
    <t>Cruzeiro Novo</t>
  </si>
  <si>
    <t>Cz$</t>
  </si>
  <si>
    <t>Cruzado</t>
  </si>
  <si>
    <t>NCz$</t>
  </si>
  <si>
    <t>Cruzado Novo</t>
  </si>
  <si>
    <t>CR$</t>
  </si>
  <si>
    <t>Cruzeiro Real</t>
  </si>
  <si>
    <t>Valor</t>
  </si>
  <si>
    <t>Registros atualizados</t>
  </si>
  <si>
    <t>Registros não atualizados</t>
  </si>
  <si>
    <t>Numero de registros</t>
  </si>
  <si>
    <t>endereço</t>
  </si>
  <si>
    <t>DetalheLocal</t>
  </si>
  <si>
    <t>NomeEq</t>
  </si>
  <si>
    <t>ID_grupo</t>
  </si>
  <si>
    <t>inter_calib</t>
  </si>
  <si>
    <t>Finalidade</t>
  </si>
  <si>
    <t>Patrimonio</t>
  </si>
  <si>
    <t>Sist_patrimonio</t>
  </si>
  <si>
    <t>Projeto_financiador</t>
  </si>
  <si>
    <t>Ano_compra</t>
  </si>
  <si>
    <t>Pasta_arquivos</t>
  </si>
  <si>
    <t>01/01/01998</t>
  </si>
  <si>
    <t>Sala Eletrólise</t>
  </si>
  <si>
    <t>Sala 2</t>
  </si>
  <si>
    <t>Sala 3</t>
  </si>
  <si>
    <t>Sala 6</t>
  </si>
  <si>
    <t>Sala 7</t>
  </si>
  <si>
    <t>Sala 8</t>
  </si>
  <si>
    <t>Sala Conformação de Ligas Metálicas</t>
  </si>
  <si>
    <t>Piso</t>
  </si>
  <si>
    <t>Nenhum</t>
  </si>
  <si>
    <t>Sala 9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</si>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</sst>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444444"/>
      <name val="Calibri"/>
      <family val="2"/>
      <charset val="1"/>
    </font>
    <font>
      <sz val="11"/>
      <color rgb="FFFFFFFF"/>
      <name val="Calibri"/>
      <family val="2"/>
      <scheme val="minor"/>
    </font>
    <font>
      <sz val="11"/>
      <color theme="1"/>
      <name val="Courier New"/>
      <family val="3"/>
    </font>
    <font>
      <sz val="11"/>
      <color rgb="FFFFFFFF"/>
      <name val="Courier New"/>
      <family val="3"/>
    </font>
    <font>
      <sz val="11"/>
      <color rgb="FF000000"/>
      <name val="Calibri"/>
      <family val="2"/>
      <scheme val="minor"/>
    </font>
    <font>
      <sz val="11"/>
      <name val="Arial"/>
    </font>
    <font>
      <sz val="11"/>
      <color rgb="FF000000"/>
      <name val="Arial"/>
    </font>
    <font>
      <sz val="12"/>
      <name val="Arial"/>
    </font>
    <font>
      <sz val="11"/>
      <name val="Calibri"/>
    </font>
    <font>
      <sz val="11"/>
      <color rgb="FF000000"/>
      <name val="Calibri"/>
    </font>
    <font>
      <sz val="12"/>
      <color rgb="FF000000"/>
      <name val="Arial"/>
    </font>
    <font>
      <sz val="12"/>
      <color rgb="FF000000"/>
      <name val="Arial"/>
      <family val="2"/>
    </font>
    <font>
      <sz val="11"/>
      <color rgb="FF444444"/>
      <name val="Calibri"/>
      <charset val="1"/>
    </font>
    <font>
      <sz val="10"/>
      <color rgb="FF000000"/>
      <name val="Calibri"/>
    </font>
    <font>
      <b/>
      <sz val="12"/>
      <name val="Calibri"/>
      <family val="2"/>
      <scheme val="minor"/>
    </font>
    <font>
      <b/>
      <sz val="12"/>
      <name val="Courier New"/>
      <family val="3"/>
    </font>
    <font>
      <u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1"/>
    <xf numFmtId="49" fontId="3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12" fontId="2" fillId="0" borderId="0" xfId="0" applyNumberFormat="1" applyFont="1" applyAlignment="1">
      <alignment horizontal="center" vertical="center" wrapText="1"/>
    </xf>
    <xf numFmtId="12" fontId="2" fillId="2" borderId="0" xfId="0" applyNumberFormat="1" applyFont="1" applyFill="1" applyAlignment="1">
      <alignment horizontal="center" vertical="center" wrapText="1"/>
    </xf>
    <xf numFmtId="13" fontId="2" fillId="2" borderId="0" xfId="0" applyNumberFormat="1" applyFont="1" applyFill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quotePrefix="1" applyFont="1"/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11" fillId="2" borderId="0" xfId="0" applyFont="1" applyFill="1"/>
    <xf numFmtId="0" fontId="11" fillId="0" borderId="0" xfId="0" applyFont="1"/>
    <xf numFmtId="0" fontId="11" fillId="5" borderId="0" xfId="0" applyFont="1" applyFill="1"/>
    <xf numFmtId="0" fontId="12" fillId="6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/>
    <xf numFmtId="0" fontId="13" fillId="7" borderId="0" xfId="0" applyFont="1" applyFill="1"/>
    <xf numFmtId="0" fontId="2" fillId="8" borderId="0" xfId="0" applyFont="1" applyFill="1" applyAlignment="1">
      <alignment horizontal="center" vertical="center" wrapText="1"/>
    </xf>
    <xf numFmtId="16" fontId="2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14" fillId="0" borderId="0" xfId="0" applyFont="1"/>
    <xf numFmtId="49" fontId="6" fillId="0" borderId="0" xfId="0" applyNumberFormat="1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49" fontId="2" fillId="3" borderId="0" xfId="0" applyNumberFormat="1" applyFont="1" applyFill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7" fillId="0" borderId="0" xfId="0" applyNumberFormat="1" applyFont="1"/>
    <xf numFmtId="14" fontId="3" fillId="0" borderId="0" xfId="0" applyNumberFormat="1" applyFont="1" applyAlignment="1">
      <alignment horizontal="center" vertical="center" wrapText="1"/>
    </xf>
    <xf numFmtId="14" fontId="1" fillId="0" borderId="0" xfId="1" applyNumberFormat="1"/>
    <xf numFmtId="0" fontId="21" fillId="0" borderId="0" xfId="0" applyFont="1"/>
    <xf numFmtId="0" fontId="2" fillId="10" borderId="0" xfId="0" applyFont="1" applyFill="1" applyAlignment="1">
      <alignment horizontal="center" vertical="center" wrapText="1"/>
    </xf>
    <xf numFmtId="14" fontId="22" fillId="9" borderId="0" xfId="0" applyNumberFormat="1" applyFont="1" applyFill="1"/>
    <xf numFmtId="0" fontId="1" fillId="0" borderId="0" xfId="1" applyBorder="1"/>
    <xf numFmtId="0" fontId="1" fillId="0" borderId="0" xfId="1" applyAlignment="1">
      <alignment horizontal="center" vertical="center" wrapText="1"/>
    </xf>
    <xf numFmtId="0" fontId="1" fillId="10" borderId="0" xfId="1" applyFill="1"/>
    <xf numFmtId="0" fontId="23" fillId="2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wrapText="1"/>
    </xf>
    <xf numFmtId="0" fontId="3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3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vertical="center"/>
    </xf>
    <xf numFmtId="0" fontId="2" fillId="3" borderId="0" xfId="0" applyNumberFormat="1" applyFont="1" applyFill="1" applyAlignment="1">
      <alignment horizontal="center" vertical="center" wrapText="1"/>
    </xf>
    <xf numFmtId="0" fontId="21" fillId="0" borderId="0" xfId="0" applyNumberFormat="1" applyFont="1"/>
    <xf numFmtId="0" fontId="2" fillId="2" borderId="0" xfId="0" applyNumberFormat="1" applyFont="1" applyFill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3" borderId="0" xfId="0" applyNumberFormat="1" applyFont="1" applyFill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1" fillId="0" borderId="1" xfId="1" applyBorder="1"/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/>
    </xf>
    <xf numFmtId="0" fontId="10" fillId="6" borderId="0" xfId="0" applyFont="1" applyFill="1" applyAlignment="1">
      <alignment horizontal="left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17/10/relationships/person" Target="persons/person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tipos_eqs!$AS$3:$AS$21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tipos_eqs!$AT$3:$AT$21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5-4D75-A1F6-9439A580B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06376"/>
        <c:axId val="604483448"/>
      </c:barChart>
      <c:catAx>
        <c:axId val="98200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4483448"/>
        <c:crosses val="autoZero"/>
        <c:auto val="1"/>
        <c:lblAlgn val="ctr"/>
        <c:lblOffset val="100"/>
        <c:noMultiLvlLbl val="0"/>
      </c:catAx>
      <c:valAx>
        <c:axId val="60448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200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Distribuição por Responsavel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defs!$P$2</c:f>
              <c:strCache>
                <c:ptCount val="1"/>
                <c:pt idx="0">
                  <c:v>Responsavel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72-44CC-A7CD-F705019FA4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72-44CC-A7CD-F705019FA4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772-44CC-A7CD-F705019FA4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772-44CC-A7CD-F705019FA4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772-44CC-A7CD-F705019FA4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772-44CC-A7CD-F705019FA47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772-44CC-A7CD-F705019FA47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772-44CC-A7CD-F705019FA47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772-44CC-A7CD-F705019FA47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772-44CC-A7CD-F705019FA47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772-44CC-A7CD-F705019FA47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772-44CC-A7CD-F705019FA47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772-44CC-A7CD-F705019FA47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772-44CC-A7CD-F705019FA47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772-44CC-A7CD-F705019FA4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defs!$O$3:$O$17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defs!$P$3:$P$17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2-493E-B0DB-887648CE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de Instalação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defs!$K$3</c:f>
              <c:strCache>
                <c:ptCount val="1"/>
                <c:pt idx="0">
                  <c:v>Local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EE-4FE3-818D-A3057E3106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EE-4FE3-818D-A3057E3106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EE-4FE3-818D-A3057E3106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EE-4FE3-818D-A3057E3106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EE-4FE3-818D-A3057E3106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EE-4FE3-818D-A3057E3106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EE-4FE3-818D-A3057E3106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EE-4FE3-818D-A3057E3106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EE-4FE3-818D-A3057E3106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EE-4FE3-818D-A3057E3106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1EE-4FE3-818D-A3057E310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defs!$J$4:$J$14</c:f>
              <c:strCache>
                <c:ptCount val="11"/>
                <c:pt idx="0">
                  <c:v>pre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prédio"</c:v>
                </c:pt>
                <c:pt idx="4">
                  <c:v>Prédio 2</c:v>
                </c:pt>
                <c:pt idx="5">
                  <c:v>Prédio 3</c:v>
                </c:pt>
                <c:pt idx="6">
                  <c:v>Prédio 4</c:v>
                </c:pt>
                <c:pt idx="7">
                  <c:v>Prédio 5</c:v>
                </c:pt>
                <c:pt idx="8">
                  <c:v>Prédio 10</c:v>
                </c:pt>
                <c:pt idx="9">
                  <c:v>Prédio 21</c:v>
                </c:pt>
                <c:pt idx="10">
                  <c:v>Prédio 47</c:v>
                </c:pt>
              </c:strCache>
            </c:strRef>
          </c:cat>
          <c:val>
            <c:numRef>
              <c:f>defs!$K$4:$K$14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104</c:v>
                </c:pt>
                <c:pt idx="5">
                  <c:v>93</c:v>
                </c:pt>
                <c:pt idx="6">
                  <c:v>117</c:v>
                </c:pt>
                <c:pt idx="7">
                  <c:v>14</c:v>
                </c:pt>
                <c:pt idx="8">
                  <c:v>135</c:v>
                </c:pt>
                <c:pt idx="9">
                  <c:v>7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F9-4326-ABDE-F452E6643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Itens Atualizados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6D-490A-B34D-DF0874C79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6D-490A-B34D-DF0874C79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defs!$A$24:$A$25</c:f>
              <c:strCache>
                <c:ptCount val="2"/>
                <c:pt idx="0">
                  <c:v>Registros atualizados</c:v>
                </c:pt>
                <c:pt idx="1">
                  <c:v>Registros não atualizados</c:v>
                </c:pt>
              </c:strCache>
            </c:strRef>
          </c:cat>
          <c:val>
            <c:numRef>
              <c:f>defs!$B$24:$B$25</c:f>
              <c:numCache>
                <c:formatCode>General</c:formatCode>
                <c:ptCount val="2"/>
                <c:pt idx="0">
                  <c:v>346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D-45B5-BADC-D996ABF2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Tipo de "plaqueta"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pat_alts!$C$3</c:f>
              <c:strCache>
                <c:ptCount val="1"/>
                <c:pt idx="0">
                  <c:v>Contagem na planilha INPUT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4-4D5B-A16B-1155FE9F49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4-4D5B-A16B-1155FE9F49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4-4D5B-A16B-1155FE9F49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4-4D5B-A16B-1155FE9F49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4-4D5B-A16B-1155FE9F49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4-4D5B-A16B-1155FE9F49B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4-4D5B-A16B-1155FE9F49B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4-4D5B-A16B-1155FE9F49B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4D4-4D5B-A16B-1155FE9F49B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4D4-4D5B-A16B-1155FE9F49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pat_alts!$B$4:$B$13</c:f>
              <c:strCache>
                <c:ptCount val="10"/>
                <c:pt idx="0">
                  <c:v>Inválido</c:v>
                </c:pt>
                <c:pt idx="1">
                  <c:v>Desconhecido</c:v>
                </c:pt>
                <c:pt idx="2">
                  <c:v>Em branco</c:v>
                </c:pt>
                <c:pt idx="3">
                  <c:v>Preenchido "sem número"</c:v>
                </c:pt>
                <c:pt idx="4">
                  <c:v>IPT geral</c:v>
                </c:pt>
                <c:pt idx="5">
                  <c:v>FIPT geral</c:v>
                </c:pt>
                <c:pt idx="6">
                  <c:v>IPT red</c:v>
                </c:pt>
                <c:pt idx="7">
                  <c:v>IPT blue</c:v>
                </c:pt>
                <c:pt idx="8">
                  <c:v>IPT grey</c:v>
                </c:pt>
                <c:pt idx="9">
                  <c:v>CETESB</c:v>
                </c:pt>
              </c:strCache>
            </c:strRef>
          </c:cat>
          <c:val>
            <c:numRef>
              <c:f>pat_alts!$C$4:$C$13</c:f>
              <c:numCache>
                <c:formatCode>General</c:formatCode>
                <c:ptCount val="10"/>
                <c:pt idx="0">
                  <c:v>286</c:v>
                </c:pt>
                <c:pt idx="1">
                  <c:v>69</c:v>
                </c:pt>
                <c:pt idx="2">
                  <c:v>105</c:v>
                </c:pt>
                <c:pt idx="3">
                  <c:v>13</c:v>
                </c:pt>
                <c:pt idx="4">
                  <c:v>89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4D4-4D5B-A16B-1155FE9F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238125</xdr:colOff>
      <xdr:row>1</xdr:row>
      <xdr:rowOff>95250</xdr:rowOff>
    </xdr:from>
    <xdr:to>
      <xdr:col>56</xdr:col>
      <xdr:colOff>466725</xdr:colOff>
      <xdr:row>15</xdr:row>
      <xdr:rowOff>171450</xdr:rowOff>
    </xdr:to>
    <xdr:graphicFrame macro="">
      <xdr:nvGraphicFramePr>
        <xdr:cNvPr id="13" name="Chart 7">
          <a:extLst>
            <a:ext uri="{FF2B5EF4-FFF2-40B4-BE49-F238E27FC236}">
              <a16:creationId xmlns:a16="http://schemas.microsoft.com/office/drawing/2014/main" id="{C0025F0D-40BA-2381-16EC-A4EEDB1321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504825</xdr:colOff>
      <xdr:row>13</xdr:row>
      <xdr:rowOff>57150</xdr:rowOff>
    </xdr:from>
    <xdr:to>
      <xdr:col>32</xdr:col>
      <xdr:colOff>200025</xdr:colOff>
      <xdr:row>27</xdr:row>
      <xdr:rowOff>133350</xdr:rowOff>
    </xdr:to>
    <xdr:graphicFrame macro="">
      <xdr:nvGraphicFramePr>
        <xdr:cNvPr id="55" name="Gráfico 1">
          <a:extLst>
            <a:ext uri="{FF2B5EF4-FFF2-40B4-BE49-F238E27FC236}">
              <a16:creationId xmlns:a16="http://schemas.microsoft.com/office/drawing/2014/main" i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200025</xdr:colOff>
      <xdr:row>13</xdr:row>
      <xdr:rowOff>57150</xdr:rowOff>
    </xdr:from>
    <xdr:to>
      <xdr:col>39</xdr:col>
      <xdr:colOff>504825</xdr:colOff>
      <xdr:row>27</xdr:row>
      <xdr:rowOff>133350</xdr:rowOff>
    </xdr:to>
    <xdr:graphicFrame macro="">
      <xdr:nvGraphicFramePr>
        <xdr:cNvPr id="59" name="Gráfico 3">
          <a:extLst>
            <a:ext uri="{FF2B5EF4-FFF2-40B4-BE49-F238E27FC236}">
              <a16:creationId xmlns:a16="http://schemas.microsoft.com/office/drawing/2014/main" id="{22757E95-A053-028F-32A6-76F3AAA7FF2B}"/>
            </a:ext>
            <a:ext uri="{147F2762-F138-4A5C-976F-8EAC2B608ADB}">
              <a16:predDERef xmlns:a16="http://schemas.microsoft.com/office/drawing/2014/main" pred="{183078E0-7BF2-A200-2F9D-50A974245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504825</xdr:colOff>
      <xdr:row>0</xdr:row>
      <xdr:rowOff>0</xdr:rowOff>
    </xdr:from>
    <xdr:to>
      <xdr:col>32</xdr:col>
      <xdr:colOff>200025</xdr:colOff>
      <xdr:row>13</xdr:row>
      <xdr:rowOff>66675</xdr:rowOff>
    </xdr:to>
    <xdr:graphicFrame macro="">
      <xdr:nvGraphicFramePr>
        <xdr:cNvPr id="68" name="Gráfico 4">
          <a:extLst>
            <a:ext uri="{FF2B5EF4-FFF2-40B4-BE49-F238E27FC236}">
              <a16:creationId xmlns:a16="http://schemas.microsoft.com/office/drawing/2014/main" id="{5CE1D33D-D811-DFB4-7118-A2AFADA0B49E}"/>
            </a:ext>
            <a:ext uri="{147F2762-F138-4A5C-976F-8EAC2B608ADB}">
              <a16:predDERef xmlns:a16="http://schemas.microsoft.com/office/drawing/2014/main" pred="{22757E95-A053-028F-32A6-76F3AAA7F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200025</xdr:colOff>
      <xdr:row>0</xdr:row>
      <xdr:rowOff>0</xdr:rowOff>
    </xdr:from>
    <xdr:to>
      <xdr:col>39</xdr:col>
      <xdr:colOff>504825</xdr:colOff>
      <xdr:row>13</xdr:row>
      <xdr:rowOff>66675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71B634B4-9A0B-4981-B0C2-114943D4A025}"/>
            </a:ext>
            <a:ext uri="{147F2762-F138-4A5C-976F-8EAC2B608ADB}">
              <a16:predDERef xmlns:a16="http://schemas.microsoft.com/office/drawing/2014/main" pred="{5CE1D33D-D811-DFB4-7118-A2AFADA0B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fael Augusto Theodoro Pereira de Souza Nahat (FIPT)" id="{8AB8B890-7C51-4A49-B53C-F52D017BBD52}" userId="S::rafaelnahat@ipt.br::bd1767ea-557f-49ae-acc7-ac4c10e1d8d5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4" dT="2022-09-09T21:26:00.53" personId="{8AB8B890-7C51-4A49-B53C-F52D017BBD52}" id="{F0509C55-E293-4DF1-8E1D-A3B0F04E3A94}">
    <text>Tem Cod_auto_raster, tem algo preenchido no número de patrimônio, mas não é um número inteiro (ex: tem um texto no meio como "1234-5" ou "IPT 1234")</text>
  </threadedComment>
  <threadedComment ref="C5" dT="2022-09-09T21:27:30.11" personId="{8AB8B890-7C51-4A49-B53C-F52D017BBD52}" id="{66FF0FE5-8231-4392-8391-9111595D8B59}">
    <text xml:space="preserve">Tem Cod_auto_raster, o sistema de patrimônio não tá preenchido mas tem um número inteiro preenchido para o número de patrimônio </text>
  </threadedComment>
  <threadedComment ref="C6" dT="2022-09-09T21:27:30.11" personId="{8AB8B890-7C51-4A49-B53C-F52D017BBD52}" id="{F0D94E37-A959-43B2-9DCF-5FA2B89B18F4}">
    <text>Tem Cod_auto_raster, o sistema de patrimônio não tá preenchido e o número de patrimônio também não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2-09-10T12:52:39.05" personId="{8AB8B890-7C51-4A49-B53C-F52D017BBD52}" id="{82EA8C68-4CDE-42BD-A94E-C10937CE19E7}">
    <text>as colunas marcadas com preto vão atualizar automaticamente se alterar esse número, mas as em laranja tem que dar o duplo-clique para ele autocompletar se aumentar o número</text>
  </threadedComment>
  <threadedComment ref="D2" dT="2022-09-10T04:03:35.33" personId="{8AB8B890-7C51-4A49-B53C-F52D017BBD52}" id="{ECA778FD-69CE-4A2F-94A4-8F8CBA6B0E10}">
    <text>da esquerda para a direita:
1) tipo está vazio
2) sigla está vazia
3) tipo está duplicado
4) sigla está duplicada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sinoiptbr.sharepoint.com/:f:/s/ControledeAtivos/Elqwkt0qKFdFqD31HzaULxkBDC0DfPgb0fpPyZjCkoiKrA?e=4NHQII" TargetMode="External"/><Relationship Id="rId21" Type="http://schemas.openxmlformats.org/officeDocument/2006/relationships/hyperlink" Target="https://ensinoiptbr-my.sharepoint.com/personal/ericaugustin_ipt_br/Documents/Documentos/Prototipos/2023/Projeto%20Controle%20Ativos/SistemaAtivos2/:f:/s/ControledeAtivos/ErwEEzzhWhdMmGpPZQ14dAoBCHr4jo1zo2WidCCGsV8ejQ?e=O6Mfur" TargetMode="External"/><Relationship Id="rId42" Type="http://schemas.openxmlformats.org/officeDocument/2006/relationships/hyperlink" Target="https://ensinoiptbr-my.sharepoint.com/personal/ericaugustin_ipt_br/Documents/Documentos/Prototipos/2023/Projeto%20Controle%20Ativos/SistemaAtivos2/:f:/s/ControledeAtivos/EtUJUWItndFAugpZM2ODuuEBWFLlPrNP0a4YDRwTNOpyCg?e=HaMIVK" TargetMode="External"/><Relationship Id="rId63" Type="http://schemas.openxmlformats.org/officeDocument/2006/relationships/hyperlink" Target="https://ensinoiptbr-my.sharepoint.com/personal/ericaugustin_ipt_br/Documents/Documentos/Prototipos/2023/Projeto%20Controle%20Ativos/SistemaAtivos2/:f:/s/ControledeAtivos/El05fVnjWpNNicbr8CHjYl0BcMQaqr0CvMVObiQN87Df5g?e=imlmPT" TargetMode="External"/><Relationship Id="rId84" Type="http://schemas.openxmlformats.org/officeDocument/2006/relationships/hyperlink" Target="https://ensinoiptbr.sharepoint.com/:f:/s/ControledeAtivos/Esv0EOuvsyxBv3qijjcvXBABCz11vVyLSgBEwqOCF8ZjRQ?e=CtmoTL" TargetMode="External"/><Relationship Id="rId138" Type="http://schemas.openxmlformats.org/officeDocument/2006/relationships/hyperlink" Target="https://ensinoiptbr.sharepoint.com/:f:/s/ControledeAtivos/EulwMKZzErFJswL5iIVLL2MBkNkdWkhUlBsGeA0tIUZOjQ?e=T7k89k" TargetMode="External"/><Relationship Id="rId159" Type="http://schemas.openxmlformats.org/officeDocument/2006/relationships/hyperlink" Target="https://ensinoiptbr.sharepoint.com/:f:/s/ControledeAtivos/EpWpxEzL_elPkpRmO-Et1b8BwS825HNnQ6ztiY1R-lqXhQ?e=nl6guc" TargetMode="External"/><Relationship Id="rId170" Type="http://schemas.openxmlformats.org/officeDocument/2006/relationships/hyperlink" Target="https://ensinoiptbr.sharepoint.com/:f:/s/ControledeAtivos/EtgwVBucePRCqrXenfShVxgBbudh3H6cuWdDbVIbGYGx_w?e=g1EtgT" TargetMode="External"/><Relationship Id="rId191" Type="http://schemas.openxmlformats.org/officeDocument/2006/relationships/hyperlink" Target="https://ensinoiptbr.sharepoint.com/:f:/s/ControledeAtivos/EpLggTn0lk5Gv9l7b-fNtjUBu1IW-3k7IIdXii3LfhC5Ag?e=Ky1IZW" TargetMode="External"/><Relationship Id="rId205" Type="http://schemas.openxmlformats.org/officeDocument/2006/relationships/hyperlink" Target="https://ensinoiptbr.sharepoint.com/:f:/s/ControledeAtivos/EjopoN8S1tFIsjV5yv74J6IBNEjXQCBV8TTse8EIyVP4mQ?e=mMUg4v" TargetMode="External"/><Relationship Id="rId107" Type="http://schemas.openxmlformats.org/officeDocument/2006/relationships/hyperlink" Target="https://ensinoiptbr.sharepoint.com/:f:/s/ControledeAtivos/EoGdr-7XLmlEqbji0SYVL5EBC8AEOfOaeXw0ty2DE1pd8g?e=UGyIjW" TargetMode="External"/><Relationship Id="rId11" Type="http://schemas.openxmlformats.org/officeDocument/2006/relationships/hyperlink" Target="https://ensinoiptbr-my.sharepoint.com/personal/ericaugustin_ipt_br/Documents/Documentos/Prototipos/2023/Projeto%20Controle%20Ativos/SistemaAtivos2/:f:/s/ControledeAtivos/EsQAkbl-pb9Bl25Ztsw-TuYB1aoFSe5m_DsIS-pkCvVutw?e=9uNPtf" TargetMode="External"/><Relationship Id="rId32" Type="http://schemas.openxmlformats.org/officeDocument/2006/relationships/hyperlink" Target="https://ensinoiptbr-my.sharepoint.com/personal/ericaugustin_ipt_br/Documents/Documentos/Prototipos/2023/Projeto%20Controle%20Ativos/SistemaAtivos2/:f:/s/ControledeAtivos/EsDKUH5BrddHgMRQc2gtgwABC0bGVDI_izoMz5CPl1V-7w?e=28jO9L" TargetMode="External"/><Relationship Id="rId53" Type="http://schemas.openxmlformats.org/officeDocument/2006/relationships/hyperlink" Target="https://ensinoiptbr-my.sharepoint.com/personal/ericaugustin_ipt_br/Documents/Documentos/Prototipos/2023/Projeto%20Controle%20Ativos/SistemaAtivos2/:f:/s/ControledeAtivos/Etlt6Ilo3ZRJnTbhEd66rrABDT2XMUzTa3W7uE3y5PzeYQ?e=7rsjVx" TargetMode="External"/><Relationship Id="rId74" Type="http://schemas.openxmlformats.org/officeDocument/2006/relationships/hyperlink" Target="https://ensinoiptbr.sharepoint.com/:f:/s/ControledeAtivos/En4MJa83nHhHmPGBLmVfrA8BmZvbox_88YzcVP_jUBhvaA?e=rGo6qe" TargetMode="External"/><Relationship Id="rId128" Type="http://schemas.openxmlformats.org/officeDocument/2006/relationships/hyperlink" Target="https://ensinoiptbr.sharepoint.com/:f:/s/ControledeAtivos/ElL3cjUWUaVAndB1WfciImkBN9P0RcYx-GlqmCNbYzgilQ?e=UPWaP7" TargetMode="External"/><Relationship Id="rId149" Type="http://schemas.openxmlformats.org/officeDocument/2006/relationships/hyperlink" Target="https://ensinoiptbr.sharepoint.com/:f:/s/ControledeAtivos/EtSIR4xO_vtJlR7BkCA1eIEBahB-8vZrXjaZZlMYPrnluQ?e=4KONiI" TargetMode="External"/><Relationship Id="rId5" Type="http://schemas.openxmlformats.org/officeDocument/2006/relationships/hyperlink" Target="https://ensinoiptbr-my.sharepoint.com/personal/ericaugustin_ipt_br/Documents/Documentos/Prototipos/2023/Projeto%20Controle%20Ativos/SistemaAtivos2/:f:/s/ControledeAtivos/Et49-mm6h39LkNUA3bQQz7ABCAB46h3v9_veoz5vXlUf5A?e=4GquQ5" TargetMode="External"/><Relationship Id="rId95" Type="http://schemas.openxmlformats.org/officeDocument/2006/relationships/hyperlink" Target="https://ensinoiptbr.sharepoint.com/:f:/s/ControledeAtivos/EvgPX8FRZV9MhvXG_Ruyg2IBRa7ePvh0jVhSjkfTAhCkFA?e=QWPWWU" TargetMode="External"/><Relationship Id="rId160" Type="http://schemas.openxmlformats.org/officeDocument/2006/relationships/hyperlink" Target="https://ensinoiptbr.sharepoint.com/:f:/s/ControledeAtivos/EiwA2uEZerVMiaKWCbaXjVUBgNusqsKxZB1FkLcLewN6ow?e=LMLLSW" TargetMode="External"/><Relationship Id="rId181" Type="http://schemas.openxmlformats.org/officeDocument/2006/relationships/hyperlink" Target="https://ensinoiptbr.sharepoint.com/:f:/s/ControledeAtivos/EvcRMhlwU41Ht3sKis8-AHUBfgC_w7kHt5xyNpHDRPM2aQ?e=Oc8Xna" TargetMode="External"/><Relationship Id="rId216" Type="http://schemas.openxmlformats.org/officeDocument/2006/relationships/hyperlink" Target="https://ensinoiptbr.sharepoint.com/:f:/s/ControledeAtivos/EsM29llTLtREmfd5JdREdDkBozzLBmBB-84tfwiriyXRCw?e=vuqzGF" TargetMode="External"/><Relationship Id="rId22" Type="http://schemas.openxmlformats.org/officeDocument/2006/relationships/hyperlink" Target="https://ensinoiptbr-my.sharepoint.com/personal/ericaugustin_ipt_br/Documents/Documentos/Prototipos/2023/Projeto%20Controle%20Ativos/SistemaAtivos2/:f:/s/ControledeAtivos/Eg3zSGIs1jVIm6r3KotG4x0BTXX8LUqmaYsDgHzc9dQbgA?e=MFlmdi" TargetMode="External"/><Relationship Id="rId43" Type="http://schemas.openxmlformats.org/officeDocument/2006/relationships/hyperlink" Target="https://ensinoiptbr-my.sharepoint.com/personal/ericaugustin_ipt_br/Documents/Documentos/Prototipos/2023/Projeto%20Controle%20Ativos/SistemaAtivos2/:f:/s/ControledeAtivos/EiRCs10Lk15LscUrVP2PHNYBAJAJYom1c1lADQP1UB-YOg?e=vkAgzt" TargetMode="External"/><Relationship Id="rId64" Type="http://schemas.openxmlformats.org/officeDocument/2006/relationships/hyperlink" Target="https://ensinoiptbr-my.sharepoint.com/personal/ericaugustin_ipt_br/Documents/Documentos/Prototipos/2023/Projeto%20Controle%20Ativos/SistemaAtivos2/:f:/s/ControledeAtivos/Es_RL9PmsuRFjEXUl0eHNagBNxsZAKXusUjWotTcWcNbzA?e=lvE2ls" TargetMode="External"/><Relationship Id="rId118" Type="http://schemas.openxmlformats.org/officeDocument/2006/relationships/hyperlink" Target="https://ensinoiptbr.sharepoint.com/:f:/s/ControledeAtivos/El-6UclgttNMvvTlnxUFQ34BonqXsWOsR9Tc-XBgzTuVHQ?e=bUhyMd" TargetMode="External"/><Relationship Id="rId139" Type="http://schemas.openxmlformats.org/officeDocument/2006/relationships/hyperlink" Target="https://ensinoiptbr.sharepoint.com/:f:/s/ControledeAtivos/Eq637wMbEsFGjUzaL_a4slcB9eLojl0FIHBxD-bhxxl6Tw?e=VmVUe4" TargetMode="External"/><Relationship Id="rId85" Type="http://schemas.openxmlformats.org/officeDocument/2006/relationships/hyperlink" Target="https://ensinoiptbr.sharepoint.com/:f:/s/ControledeAtivos/EhJ8MXW5HG9PvtCCPnLAEE8B3kWgNffGB5HboXlwVPy5DQ?e=SNDZHM" TargetMode="External"/><Relationship Id="rId150" Type="http://schemas.openxmlformats.org/officeDocument/2006/relationships/hyperlink" Target="https://ensinoiptbr.sharepoint.com/:f:/s/ControledeAtivos/Elr_rvsz0U5DoD9tTMhE-mMBQ_gjXLoWs7Jm8JQz0X62IQ?e=nooG1I" TargetMode="External"/><Relationship Id="rId171" Type="http://schemas.openxmlformats.org/officeDocument/2006/relationships/hyperlink" Target="https://ensinoiptbr.sharepoint.com/:f:/s/ControledeAtivos/EmCkOFE27dhHiNyI4XIk3RsBg1BvKHZYcgl9MtCU-cGaEA?e=2RaSS6" TargetMode="External"/><Relationship Id="rId192" Type="http://schemas.openxmlformats.org/officeDocument/2006/relationships/hyperlink" Target="https://ensinoiptbr.sharepoint.com/:f:/s/ControledeAtivos/Ei8PAndOvLxNi2rD2Jawi1YBdjdWeYAA8DqRUIGs8JvXxA?e=XuBrT7" TargetMode="External"/><Relationship Id="rId206" Type="http://schemas.openxmlformats.org/officeDocument/2006/relationships/hyperlink" Target="https://ensinoiptbr.sharepoint.com/:f:/s/ControledeAtivos/EknW1KSI-lRIgVeOLxr-gcAB5DXVon8FFm7xpeJ6uUX_GA?e=bKhB1v" TargetMode="External"/><Relationship Id="rId12" Type="http://schemas.openxmlformats.org/officeDocument/2006/relationships/hyperlink" Target="https://ensinoiptbr-my.sharepoint.com/personal/ericaugustin_ipt_br/Documents/Documentos/Prototipos/2023/Projeto%20Controle%20Ativos/SistemaAtivos2/:f:/s/ControledeAtivos/ElUxamn9IiNBixBX4qb_sewB6ybwaz3dzis1u-GFNYA2KQ?e=gDzKyS" TargetMode="External"/><Relationship Id="rId33" Type="http://schemas.openxmlformats.org/officeDocument/2006/relationships/hyperlink" Target="https://ensinoiptbr-my.sharepoint.com/personal/ericaugustin_ipt_br/Documents/Documentos/Prototipos/2023/Projeto%20Controle%20Ativos/SistemaAtivos2/:f:/s/ControledeAtivos/Es1nGufy0shOvC-axs4AZJ0B0lt5ESZ5gZca71ukVuMy3g?e=4thZsd" TargetMode="External"/><Relationship Id="rId108" Type="http://schemas.openxmlformats.org/officeDocument/2006/relationships/hyperlink" Target="https://ensinoiptbr.sharepoint.com/:f:/s/ControledeAtivos/EuqQgor_0HZHkSN2nAAd-XYBQhGNRzhWwX_6boUSvPRSJQ?e=W9Q84B" TargetMode="External"/><Relationship Id="rId129" Type="http://schemas.openxmlformats.org/officeDocument/2006/relationships/hyperlink" Target="https://ensinoiptbr.sharepoint.com/:f:/s/ControledeAtivos/Em7VBnv2oeJEvw0zqC2OUaIBA9T68ZcxTUY9ITOBH2MFtw?e=L9WQRz" TargetMode="External"/><Relationship Id="rId54" Type="http://schemas.openxmlformats.org/officeDocument/2006/relationships/hyperlink" Target="https://ensinoiptbr-my.sharepoint.com/personal/ericaugustin_ipt_br/Documents/Documentos/Prototipos/2023/Projeto%20Controle%20Ativos/SistemaAtivos2/:f:/s/ControledeAtivos/EkPFPpusSV9NjQxEU8Ea-R8B3nUdLtpn8Rl9zXyQTNRJmg?e=1qs7PL" TargetMode="External"/><Relationship Id="rId75" Type="http://schemas.openxmlformats.org/officeDocument/2006/relationships/hyperlink" Target="https://ensinoiptbr.sharepoint.com/:f:/s/ControledeAtivos/Epx1pDoB3nNLlgnKTbCt9QIB5ZJuvQUAGiTu0XH0_N2kRg?e=yR0nUN" TargetMode="External"/><Relationship Id="rId96" Type="http://schemas.openxmlformats.org/officeDocument/2006/relationships/hyperlink" Target="https://ensinoiptbr.sharepoint.com/:f:/s/ControledeAtivos/EnAzZF9qGABMn3jKALt7rFABevB7RAbhn1E5bN6yjjG0yA?e=lqqgx0" TargetMode="External"/><Relationship Id="rId140" Type="http://schemas.openxmlformats.org/officeDocument/2006/relationships/hyperlink" Target="https://ensinoiptbr.sharepoint.com/:f:/s/ControledeAtivos/Ehrse6ElhBdDh5Qq7zFUOEYBnA5g0enYFAPpOk1WPSjFew?e=Nt01iN" TargetMode="External"/><Relationship Id="rId161" Type="http://schemas.openxmlformats.org/officeDocument/2006/relationships/hyperlink" Target="https://ensinoiptbr.sharepoint.com/:f:/s/ControledeAtivos/EoAJEadvSYtBkCYMG10sBpIB-lueAL9fXOjmT4AlOCoXrg?e=sgnSgq" TargetMode="External"/><Relationship Id="rId182" Type="http://schemas.openxmlformats.org/officeDocument/2006/relationships/hyperlink" Target="https://ensinoiptbr.sharepoint.com/:f:/s/ControledeAtivos/EppDvAMK1a1Di6bzkZypwGIB3FbQQ-yVGWu5xlanZH6Zig?e=LOtehO" TargetMode="External"/><Relationship Id="rId217" Type="http://schemas.openxmlformats.org/officeDocument/2006/relationships/hyperlink" Target="https://ensinoiptbr.sharepoint.com/:f:/s/ControledeAtivos/EptHnW6rIXBCpGxrygPAoSgBr8Axs3ReZYEBVXvWRuQWpQ?e=QIfhKL" TargetMode="External"/><Relationship Id="rId6" Type="http://schemas.openxmlformats.org/officeDocument/2006/relationships/hyperlink" Target="https://ensinoiptbr-my.sharepoint.com/personal/ericaugustin_ipt_br/Documents/Documentos/Prototipos/2023/Projeto%20Controle%20Ativos/SistemaAtivos2/:f:/s/ControledeAtivos/EoDmY9Dcv75Oh-a42uVnt7UBvUwENanSDbQi6KTd-eSO6A?e=YpTUPC" TargetMode="External"/><Relationship Id="rId23" Type="http://schemas.openxmlformats.org/officeDocument/2006/relationships/hyperlink" Target="https://ensinoiptbr-my.sharepoint.com/personal/ericaugustin_ipt_br/Documents/Documentos/Prototipos/2023/Projeto%20Controle%20Ativos/SistemaAtivos2/:f:/s/ControledeAtivos/EqYqGTv-tLtPmS8RoQRLnm8BVcjV5fFmm_u3fWmarP_neQ?e=48sBgF" TargetMode="External"/><Relationship Id="rId119" Type="http://schemas.openxmlformats.org/officeDocument/2006/relationships/hyperlink" Target="https://ensinoiptbr.sharepoint.com/:f:/s/ControledeAtivos/EgIhygzR2chJgemwJ6SwaX4BTt37xUGQyTEzi580dNbPTQ?e=PV0Svr" TargetMode="External"/><Relationship Id="rId44" Type="http://schemas.openxmlformats.org/officeDocument/2006/relationships/hyperlink" Target="https://ensinoiptbr-my.sharepoint.com/personal/ericaugustin_ipt_br/Documents/Documentos/Prototipos/2023/Projeto%20Controle%20Ativos/SistemaAtivos2/:f:/s/ControledeAtivos/EghhlJayB4NPsK5tlKxyHJIBNc4PU3B26d_23hX8fEoxaw?e=u0Kyyf" TargetMode="External"/><Relationship Id="rId65" Type="http://schemas.openxmlformats.org/officeDocument/2006/relationships/hyperlink" Target="https://ensinoiptbr-my.sharepoint.com/personal/ericaugustin_ipt_br/Documents/Documentos/Prototipos/2023/Projeto%20Controle%20Ativos/SistemaAtivos2/:f:/s/ControledeAtivos/EgNJwm9LGitNqLijtieYkzgBSjE6MufB3V3cG39vq0Elfg?e=3atAHL" TargetMode="External"/><Relationship Id="rId86" Type="http://schemas.openxmlformats.org/officeDocument/2006/relationships/hyperlink" Target="https://ensinoiptbr.sharepoint.com/:f:/s/ControledeAtivos/EgRqCyCsHBZEmlJyVxLENjEBOleVSPdH0Lk2laC3BnmPYg?e=MTp6Ya" TargetMode="External"/><Relationship Id="rId130" Type="http://schemas.openxmlformats.org/officeDocument/2006/relationships/hyperlink" Target="https://ensinoiptbr.sharepoint.com/:f:/s/ControledeAtivos/EiJKG-jFgfhIsrzOeV726k0BYdgWUCmrC7fEEZAbqat6nA?e=KyIp1X" TargetMode="External"/><Relationship Id="rId151" Type="http://schemas.openxmlformats.org/officeDocument/2006/relationships/hyperlink" Target="https://ensinoiptbr.sharepoint.com/:f:/s/ControledeAtivos/ErdjII2AUOZNpC3MzWamNQoB6gerNsktF3jEla9xDoAUlQ?e=NeAEAb" TargetMode="External"/><Relationship Id="rId172" Type="http://schemas.openxmlformats.org/officeDocument/2006/relationships/hyperlink" Target="https://ensinoiptbr.sharepoint.com/:f:/s/ControledeAtivos/EqqTGdenrM5Lqrfm1vL-TNQBBsF-McuAbkajIGqK0eeJYw?e=XP9yP5" TargetMode="External"/><Relationship Id="rId193" Type="http://schemas.openxmlformats.org/officeDocument/2006/relationships/hyperlink" Target="https://ensinoiptbr.sharepoint.com/:f:/s/ControledeAtivos/EnMfqR88nRpDk3MdShonj-0BY8JWZVyv8VDExKPono8VUQ?e=PDonum" TargetMode="External"/><Relationship Id="rId207" Type="http://schemas.openxmlformats.org/officeDocument/2006/relationships/hyperlink" Target="https://ensinoiptbr.sharepoint.com/:f:/s/ControledeAtivos/EkjlBxQivxxGpaRLE0rNH6gBIOFsXNUSG2EzA76Q7UEY3g?e=QKaDIk" TargetMode="External"/><Relationship Id="rId13" Type="http://schemas.openxmlformats.org/officeDocument/2006/relationships/hyperlink" Target="https://ensinoiptbr-my.sharepoint.com/personal/ericaugustin_ipt_br/Documents/Documentos/Prototipos/2023/Projeto%20Controle%20Ativos/SistemaAtivos2/:f:/s/ControledeAtivos/EgzF4C0M3GNOiEwPFcIe_3oB68ntQ_MxHIH5SwFcKWQkMA?e=j3z75g" TargetMode="External"/><Relationship Id="rId109" Type="http://schemas.openxmlformats.org/officeDocument/2006/relationships/hyperlink" Target="https://ensinoiptbr.sharepoint.com/:f:/s/ControledeAtivos/Egv6YmlbFWBAhd578dRK5UYBP7KYPN1E3DfFt_CTjZr2Fw?e=ZSBIby" TargetMode="External"/><Relationship Id="rId34" Type="http://schemas.openxmlformats.org/officeDocument/2006/relationships/hyperlink" Target="https://ensinoiptbr-my.sharepoint.com/personal/ericaugustin_ipt_br/Documents/Documentos/Prototipos/2023/Projeto%20Controle%20Ativos/SistemaAtivos2/:f:/s/ControledeAtivos/EnVObrgnF-1Gu0ERaSRrUtoBy6fmhausNwP387xg5z0WwQ?e=vhgiEz" TargetMode="External"/><Relationship Id="rId55" Type="http://schemas.openxmlformats.org/officeDocument/2006/relationships/hyperlink" Target="https://ensinoiptbr-my.sharepoint.com/personal/ericaugustin_ipt_br/Documents/Documentos/Prototipos/2023/Projeto%20Controle%20Ativos/SistemaAtivos2/:f:/s/ControledeAtivos/EiWZVYxs4MlOk4QjmXgR2WoBG2jJwZ9WeArxVpsysxUwwQ?e=LgoX1z" TargetMode="External"/><Relationship Id="rId76" Type="http://schemas.openxmlformats.org/officeDocument/2006/relationships/hyperlink" Target="https://ensinoiptbr.sharepoint.com/:f:/s/ControledeAtivos/Ell22eZ4SxRKkGLKLAG1yAEBZvHhPkJVBvGk3c4_nLQV8A?e=0oSiR5" TargetMode="External"/><Relationship Id="rId97" Type="http://schemas.openxmlformats.org/officeDocument/2006/relationships/hyperlink" Target="https://ensinoiptbr.sharepoint.com/:f:/s/ControledeAtivos/EitOLnFZfppFq7NvL70MiX8BF3B_kmo9NGLED3Y4IlhvoQ?e=boUF7e" TargetMode="External"/><Relationship Id="rId120" Type="http://schemas.openxmlformats.org/officeDocument/2006/relationships/hyperlink" Target="https://ensinoiptbr.sharepoint.com/:f:/s/ControledeAtivos/Ep61wpYhuXFOhpSYyyzg7CYBARtDsQmrM_m7JIqJBuonRQ?e=lebEAo" TargetMode="External"/><Relationship Id="rId141" Type="http://schemas.openxmlformats.org/officeDocument/2006/relationships/hyperlink" Target="https://ensinoiptbr.sharepoint.com/:f:/s/ControledeAtivos/EueM6_5MOsJJmdmH_O3ceWwBCSjQk603oRi8YEWLNfm--A?e=Mfa3jS" TargetMode="External"/><Relationship Id="rId7" Type="http://schemas.openxmlformats.org/officeDocument/2006/relationships/hyperlink" Target="https://ensinoiptbr-my.sharepoint.com/personal/ericaugustin_ipt_br/Documents/Documentos/Prototipos/2023/Projeto%20Controle%20Ativos/SistemaAtivos2/:f:/s/ControledeAtivos/ErYBZduqpupMoXqgJp4U-XQBe2QBNricUSW-WaIwI7rLjQ?e=cwapJ6" TargetMode="External"/><Relationship Id="rId162" Type="http://schemas.openxmlformats.org/officeDocument/2006/relationships/hyperlink" Target="https://ensinoiptbr.sharepoint.com/:f:/s/ControledeAtivos/EjJpPfRncKNDuO6TEVCmbE4Ba0DvRsLWdzzyEi1rr3gc-Q?e=fELYbC" TargetMode="External"/><Relationship Id="rId183" Type="http://schemas.openxmlformats.org/officeDocument/2006/relationships/hyperlink" Target="https://ensinoiptbr.sharepoint.com/:f:/s/ControledeAtivos/EitTd7ZHuxlMrzZeT_CSQxABAwqMTRG3LyGnY8aeTLHgfw?e=YiEE05" TargetMode="External"/><Relationship Id="rId218" Type="http://schemas.openxmlformats.org/officeDocument/2006/relationships/hyperlink" Target="https://ensinoiptbr.sharepoint.com/:f:/s/ControledeAtivos/EkbbS8XSEZBLnpOihF3JpuMB8XpWxtGomNUtunCdtj6ydg?e=PuSucl" TargetMode="External"/><Relationship Id="rId24" Type="http://schemas.openxmlformats.org/officeDocument/2006/relationships/hyperlink" Target="https://ensinoiptbr-my.sharepoint.com/personal/ericaugustin_ipt_br/Documents/Documentos/Prototipos/2023/Projeto%20Controle%20Ativos/SistemaAtivos2/:f:/s/ControledeAtivos/EmTSUaYYCv1KhJNFWWGNQMcB_CRqLdJBmPr6JqF_MyWDog?e=iwaShp" TargetMode="External"/><Relationship Id="rId45" Type="http://schemas.openxmlformats.org/officeDocument/2006/relationships/hyperlink" Target="https://ensinoiptbr-my.sharepoint.com/personal/ericaugustin_ipt_br/Documents/Documentos/Prototipos/2023/Projeto%20Controle%20Ativos/SistemaAtivos2/:f:/s/ControledeAtivos/Ei-twD2_beFLgvEN4DNCqq0Bf_ZmlcJ9Bp2SKav6Bq6oYQ?e=K5XJc6" TargetMode="External"/><Relationship Id="rId66" Type="http://schemas.openxmlformats.org/officeDocument/2006/relationships/hyperlink" Target="https://ensinoiptbr-my.sharepoint.com/personal/ericaugustin_ipt_br/Documents/Documentos/Prototipos/2023/Projeto%20Controle%20Ativos/SistemaAtivos2/:f:/s/ControledeAtivos/EomyhGfazkxOouGxislYyKoBVFGPWDQcUJjX-yBz7qWg3A?e=z1NcsF" TargetMode="External"/><Relationship Id="rId87" Type="http://schemas.openxmlformats.org/officeDocument/2006/relationships/hyperlink" Target="https://ensinoiptbr.sharepoint.com/:f:/s/ControledeAtivos/EkbZx8CJjiRBlH8KqNa6znMBjVXLqLJTFvdhN3Z1jRLl3g?e=bF5kso" TargetMode="External"/><Relationship Id="rId110" Type="http://schemas.openxmlformats.org/officeDocument/2006/relationships/hyperlink" Target="https://ensinoiptbr.sharepoint.com/:f:/s/ControledeAtivos/EkOFmC3TqFZIgeGA3DLrdsQBnp3rze85gomvD-svow8kog?e=VZbnnG" TargetMode="External"/><Relationship Id="rId131" Type="http://schemas.openxmlformats.org/officeDocument/2006/relationships/hyperlink" Target="https://ensinoiptbr.sharepoint.com/:f:/s/ControledeAtivos/Eh9ZWu95bv5DmKZmGbm7BtkBeGSX9E6kllpGvNrLPAqbLQ?e=00s1bC" TargetMode="External"/><Relationship Id="rId152" Type="http://schemas.openxmlformats.org/officeDocument/2006/relationships/hyperlink" Target="https://ensinoiptbr.sharepoint.com/:f:/s/ControledeAtivos/Eqomo7XTue9GkAGc40BaTZMB0W4ZQSWDgtifutUecCu_Jw?e=0AmbDJ" TargetMode="External"/><Relationship Id="rId173" Type="http://schemas.openxmlformats.org/officeDocument/2006/relationships/hyperlink" Target="https://ensinoiptbr.sharepoint.com/:f:/s/ControledeAtivos/EtFRxpOsL9JMu8lmOazkn0YBUjXqRGWfT-xN4T4qR2mlDg?e=qD9AzW" TargetMode="External"/><Relationship Id="rId194" Type="http://schemas.openxmlformats.org/officeDocument/2006/relationships/hyperlink" Target="https://ensinoiptbr.sharepoint.com/:f:/s/ControledeAtivos/EumBkQFkGwRHgdQUXAwRtqUBgqMYe6hv0ExRa8VJb-Z3eg?e=ukX9vL" TargetMode="External"/><Relationship Id="rId208" Type="http://schemas.openxmlformats.org/officeDocument/2006/relationships/hyperlink" Target="https://ensinoiptbr.sharepoint.com/:f:/s/ControledeAtivos/EhaDJM3Xhi9AjC7fbfJgga8BojL2HNDSCp00OKTbVb8-VQ?e=S5icku" TargetMode="External"/><Relationship Id="rId14" Type="http://schemas.openxmlformats.org/officeDocument/2006/relationships/hyperlink" Target="https://ensinoiptbr-my.sharepoint.com/personal/ericaugustin_ipt_br/Documents/Documentos/Prototipos/2023/Projeto%20Controle%20Ativos/SistemaAtivos2/:f:/s/ControledeAtivos/ElqRvBlxCflFn93UewlD-AAB49wizRJA-7-dsp9uyumNXw?e=bxApfH" TargetMode="External"/><Relationship Id="rId35" Type="http://schemas.openxmlformats.org/officeDocument/2006/relationships/hyperlink" Target="https://ensinoiptbr-my.sharepoint.com/personal/ericaugustin_ipt_br/Documents/Documentos/Prototipos/2023/Projeto%20Controle%20Ativos/SistemaAtivos2/:f:/s/ControledeAtivos/El8BlmutQ1VPpSMgy-MoSPcBJhkLLQx65U22TYxOg1ghdw?e=U6OQLK" TargetMode="External"/><Relationship Id="rId56" Type="http://schemas.openxmlformats.org/officeDocument/2006/relationships/hyperlink" Target="https://ensinoiptbr-my.sharepoint.com/personal/ericaugustin_ipt_br/Documents/Documentos/Prototipos/2023/Projeto%20Controle%20Ativos/SistemaAtivos2/:f:/s/ControledeAtivos/EocC3nzwdiRFmFIURjoCuX8Bv-BH-rO_wjtfqQ8qO_yyoA?e=PN7Mnu" TargetMode="External"/><Relationship Id="rId77" Type="http://schemas.openxmlformats.org/officeDocument/2006/relationships/hyperlink" Target="https://ensinoiptbr.sharepoint.com/:f:/s/ControledeAtivos/Ev9_PwWhYSpHtuHj1L9Iqd4BuYU5SJu5DSR6R-BQo9b1CA?e=m3Bfjp" TargetMode="External"/><Relationship Id="rId100" Type="http://schemas.openxmlformats.org/officeDocument/2006/relationships/hyperlink" Target="https://ensinoiptbr.sharepoint.com/:f:/s/ControledeAtivos/Es-YFLKgmQJFrxqdOYKXOFIBOsewzxeqVnwiQitJh9hGyg?e=AaHsW7" TargetMode="External"/><Relationship Id="rId8" Type="http://schemas.openxmlformats.org/officeDocument/2006/relationships/hyperlink" Target="https://ensinoiptbr-my.sharepoint.com/personal/ericaugustin_ipt_br/Documents/Documentos/Prototipos/2023/Projeto%20Controle%20Ativos/SistemaAtivos2/:f:/s/ControledeAtivos/Ehjh1fH3HfhMqWBdQ5P4OJUBT1Lv9_F0TOaJ5falIYO5TQ?e=cGb0qI" TargetMode="External"/><Relationship Id="rId51" Type="http://schemas.openxmlformats.org/officeDocument/2006/relationships/hyperlink" Target="https://ensinoiptbr-my.sharepoint.com/personal/ericaugustin_ipt_br/Documents/Documentos/Prototipos/2023/Projeto%20Controle%20Ativos/SistemaAtivos2/:f:/s/ControledeAtivos/EpKJHds-hFdFjHhPh_YALaEBE0mEQnyf4IF6ykbpfjyQQA?e=dmYhJn" TargetMode="External"/><Relationship Id="rId72" Type="http://schemas.openxmlformats.org/officeDocument/2006/relationships/hyperlink" Target="https://ensinoiptbr.sharepoint.com/:f:/s/ControledeAtivos/Ev0J0xqNAaZCg-Vjz3El9LUBTsMtL5DsGIGqilqS5BJcTA?e=yH7R4p" TargetMode="External"/><Relationship Id="rId93" Type="http://schemas.openxmlformats.org/officeDocument/2006/relationships/hyperlink" Target="https://ensinoiptbr.sharepoint.com/:f:/s/ControledeAtivos/EiwnXWJKuAJBpZTWxh4hZFoBoEajdbzqS8DddIi1P_n0XA?e=RCmB80" TargetMode="External"/><Relationship Id="rId98" Type="http://schemas.openxmlformats.org/officeDocument/2006/relationships/hyperlink" Target="https://ensinoiptbr.sharepoint.com/:f:/s/ControledeAtivos/EiZRPPsplvtDlw9RBnUrcH4B0sy0Gso8UfF2tcDkJFn5EA?e=FBOdMz" TargetMode="External"/><Relationship Id="rId121" Type="http://schemas.openxmlformats.org/officeDocument/2006/relationships/hyperlink" Target="https://ensinoiptbr.sharepoint.com/:f:/s/ControledeAtivos/EtDWBg7sj7hGmen2wsmGTaQBD4b2CLCN-3LxdPtgzRO5kg?e=TNv4a6" TargetMode="External"/><Relationship Id="rId142" Type="http://schemas.openxmlformats.org/officeDocument/2006/relationships/hyperlink" Target="https://ensinoiptbr.sharepoint.com/:f:/s/ControledeAtivos/EryB5w2P4mpJjRoGMoxUCe8BrG9vqrlCSN4B1SnPmPCyzw?e=UzVDqu" TargetMode="External"/><Relationship Id="rId163" Type="http://schemas.openxmlformats.org/officeDocument/2006/relationships/hyperlink" Target="https://ensinoiptbr.sharepoint.com/:f:/s/ControledeAtivos/EhWDDq6D-T1FoLf_TtzJo74Bw5oNLTA9PLhPjb_jmYKg6w?e=5DjZPB" TargetMode="External"/><Relationship Id="rId184" Type="http://schemas.openxmlformats.org/officeDocument/2006/relationships/hyperlink" Target="https://ensinoiptbr.sharepoint.com/:f:/s/ControledeAtivos/Eo4KMZnLledLiUrON5gMHu0BZSc-ztud3Ix8QYPgMmCkCg?e=lwu8DW" TargetMode="External"/><Relationship Id="rId189" Type="http://schemas.openxmlformats.org/officeDocument/2006/relationships/hyperlink" Target="https://ensinoiptbr.sharepoint.com/:f:/s/ControledeAtivos/EgVflCtu-nVEkKf5xSh3kTkBXJsktUYOx_xBx4qj7eYNgg?e=NMrORv" TargetMode="External"/><Relationship Id="rId219" Type="http://schemas.openxmlformats.org/officeDocument/2006/relationships/hyperlink" Target="https://ensinoiptbr.sharepoint.com/:f:/s/ControledeAtivos/EnN_8Pbt1E1Ds-b6vcdWYpoBkBt_HBFPgueVP_q3a4J8RQ?e=fd6b83" TargetMode="External"/><Relationship Id="rId3" Type="http://schemas.openxmlformats.org/officeDocument/2006/relationships/hyperlink" Target="https://ensinoiptbr-my.sharepoint.com/personal/ericaugustin_ipt_br/Documents/Documentos/Prototipos/2023/Projeto%20Controle%20Ativos/SistemaAtivos2/:f:/s/ControledeAtivos/EoPG6t7GDj1Che5pXp4E0qkBrkHpUZLGDswLqgQhFIUJuA?e=0PNaMQ" TargetMode="External"/><Relationship Id="rId214" Type="http://schemas.openxmlformats.org/officeDocument/2006/relationships/hyperlink" Target="https://ensinoiptbr.sharepoint.com/:f:/s/ControledeAtivos/EkSCeu4bS8tAl7Xt6SViadABXQLpcSaVcKNMReXSdwV62g?e=saN090" TargetMode="External"/><Relationship Id="rId25" Type="http://schemas.openxmlformats.org/officeDocument/2006/relationships/hyperlink" Target="https://ensinoiptbr-my.sharepoint.com/personal/ericaugustin_ipt_br/Documents/Documentos/Prototipos/2023/Projeto%20Controle%20Ativos/SistemaAtivos2/:f:/s/ControledeAtivos/EuLQkW-y-3NPvq-2KJEbLjQB2_JPUz8RHtoPsxG1xgPlHQ?e=xuucMX" TargetMode="External"/><Relationship Id="rId46" Type="http://schemas.openxmlformats.org/officeDocument/2006/relationships/hyperlink" Target="https://ensinoiptbr-my.sharepoint.com/personal/ericaugustin_ipt_br/Documents/Documentos/Prototipos/2023/Projeto%20Controle%20Ativos/SistemaAtivos2/:f:/s/ControledeAtivos/Ev27dXjv7h5Hp3PNgDFqBToBoePwpt_AcXZeGR9pKsBoUA?e=J3wOfI" TargetMode="External"/><Relationship Id="rId67" Type="http://schemas.openxmlformats.org/officeDocument/2006/relationships/hyperlink" Target="https://ensinoiptbr-my.sharepoint.com/personal/ericaugustin_ipt_br/Documents/Documentos/Prototipos/2023/Projeto%20Controle%20Ativos/SistemaAtivos2/:f:/s/ControledeAtivos/EiUNhynTwsZNrwD1xN2KqKABNpJy_uXawvWcWbdn_ekxvQ?e=sXdRsJ" TargetMode="External"/><Relationship Id="rId116" Type="http://schemas.openxmlformats.org/officeDocument/2006/relationships/hyperlink" Target="https://ensinoiptbr.sharepoint.com/:f:/s/ControledeAtivos/EnK703gB5flApLn5RbV9neMBdmqQvG73bBYeS5j6-1mHmw?e=dNdOfQ" TargetMode="External"/><Relationship Id="rId137" Type="http://schemas.openxmlformats.org/officeDocument/2006/relationships/hyperlink" Target="https://ensinoiptbr.sharepoint.com/:f:/s/ControledeAtivos/EiWEgWbMYFxOgiMPLnbiByUBGkB9NhmsxmNZD8D5ElFtJw?e=3TVyZo" TargetMode="External"/><Relationship Id="rId158" Type="http://schemas.openxmlformats.org/officeDocument/2006/relationships/hyperlink" Target="https://ensinoiptbr.sharepoint.com/:f:/s/ControledeAtivos/ErSqYL888f5NjvhI1o7RrjMBpZWwpe53naiUzmcsRAo12w?e=28Donj" TargetMode="External"/><Relationship Id="rId20" Type="http://schemas.openxmlformats.org/officeDocument/2006/relationships/hyperlink" Target="https://ensinoiptbr-my.sharepoint.com/personal/ericaugustin_ipt_br/Documents/Documentos/Prototipos/2023/Projeto%20Controle%20Ativos/SistemaAtivos2/:f:/s/ControledeAtivos/EjYIFC7oTWtHmNltbjEi484B8exO6LDYDsJWlcxvoymoeQ?e=kuntra" TargetMode="External"/><Relationship Id="rId41" Type="http://schemas.openxmlformats.org/officeDocument/2006/relationships/hyperlink" Target="https://ensinoiptbr-my.sharepoint.com/personal/ericaugustin_ipt_br/Documents/Documentos/Prototipos/2023/Projeto%20Controle%20Ativos/SistemaAtivos2/:f:/s/ControledeAtivos/El-yFQeK7OJCrbQrY-IHpa0B1kS-EAFw5Si1k5wn14GUIQ?e=C7QE0N" TargetMode="External"/><Relationship Id="rId62" Type="http://schemas.openxmlformats.org/officeDocument/2006/relationships/hyperlink" Target="https://ensinoiptbr-my.sharepoint.com/personal/ericaugustin_ipt_br/Documents/Documentos/Prototipos/2023/Projeto%20Controle%20Ativos/SistemaAtivos2/:f:/s/ControledeAtivos/Esq83F54_gxDs5DeA7rQh-wBhNELejftNtNYSo6w65NeBQ?e=mEmYTc" TargetMode="External"/><Relationship Id="rId83" Type="http://schemas.openxmlformats.org/officeDocument/2006/relationships/hyperlink" Target="https://ensinoiptbr.sharepoint.com/:f:/s/ControledeAtivos/EmvKkDms3ftLrUGpKZ5LQcIB9RJ6mGOW94GbQJwUF4LKjA?e=JG2wn3" TargetMode="External"/><Relationship Id="rId88" Type="http://schemas.openxmlformats.org/officeDocument/2006/relationships/hyperlink" Target="https://ensinoiptbr.sharepoint.com/:f:/s/ControledeAtivos/EuUWAOVbDLJOguZozMwB8I8B1j13F8iJ7C6Tpw2eUJa0SA?e=Da2vXK" TargetMode="External"/><Relationship Id="rId111" Type="http://schemas.openxmlformats.org/officeDocument/2006/relationships/hyperlink" Target="https://ensinoiptbr.sharepoint.com/:f:/s/ControledeAtivos/EsPwGIqbwSZKtOrott2crAYB_iS9ZhkoSuMxm62mO8ueaA?e=AYRdgN" TargetMode="External"/><Relationship Id="rId132" Type="http://schemas.openxmlformats.org/officeDocument/2006/relationships/hyperlink" Target="https://ensinoiptbr.sharepoint.com/:f:/s/ControledeAtivos/EvUHPvxrjQ9PtmRgM0j4M9wBpJGLP533j1auZXJTsvxsUw?e=4dFa54" TargetMode="External"/><Relationship Id="rId153" Type="http://schemas.openxmlformats.org/officeDocument/2006/relationships/hyperlink" Target="https://ensinoiptbr.sharepoint.com/:f:/s/ControledeAtivos/Ep55X7-poyFEt4AyoXMoi2oBIWb4l60d9qjSyM2jnT1kvw?e=v3Bc1e" TargetMode="External"/><Relationship Id="rId174" Type="http://schemas.openxmlformats.org/officeDocument/2006/relationships/hyperlink" Target="https://ensinoiptbr.sharepoint.com/:f:/s/ControledeAtivos/EsdMQn8I4HxCiQMJGk5SHEYBidTQFWk_oskmNXuf0fUcTw?e=KdoWB1" TargetMode="External"/><Relationship Id="rId179" Type="http://schemas.openxmlformats.org/officeDocument/2006/relationships/hyperlink" Target="https://ensinoiptbr.sharepoint.com/:f:/s/ControledeAtivos/EoyYpumZohVPgArN4dyvZnYBQP6QJ1LGDhd6l5X3J1hSzg?e=XsHDJ1" TargetMode="External"/><Relationship Id="rId195" Type="http://schemas.openxmlformats.org/officeDocument/2006/relationships/hyperlink" Target="https://ensinoiptbr.sharepoint.com/:f:/s/ControledeAtivos/EiW_pPLOBuZOsskx5G1llpABXjYFOslJKunqhTEj6-o7pA?e=1rzoCK" TargetMode="External"/><Relationship Id="rId209" Type="http://schemas.openxmlformats.org/officeDocument/2006/relationships/hyperlink" Target="https://ensinoiptbr.sharepoint.com/:f:/s/ControledeAtivos/EhAbMNTjWqhHvysBd7NkxfYBaq32ILpC4GPPN2uQ9uvQRw?e=dpQb8f" TargetMode="External"/><Relationship Id="rId190" Type="http://schemas.openxmlformats.org/officeDocument/2006/relationships/hyperlink" Target="https://ensinoiptbr.sharepoint.com/:f:/s/ControledeAtivos/EvWe-yaVLlRHgyOoMYGS_X8BwGAZ041RYkWvH2bY-LFCNw?e=KfkBh7" TargetMode="External"/><Relationship Id="rId204" Type="http://schemas.openxmlformats.org/officeDocument/2006/relationships/hyperlink" Target="https://ensinoiptbr.sharepoint.com/:f:/s/ControledeAtivos/EqxnkjJMrzJLgwrrOKW0wcIBYTnNOG7sjOvVuhmWOcBL2Q?e=xZLYY7" TargetMode="External"/><Relationship Id="rId220" Type="http://schemas.openxmlformats.org/officeDocument/2006/relationships/hyperlink" Target="https://ensinoiptbr.sharepoint.com/:f:/s/ControledeAtivos/ErqpZHelcchDvQDwIAFB93gBsp3HgKIebUWWfkHTFbgtXw?e=20JuVO" TargetMode="External"/><Relationship Id="rId15" Type="http://schemas.openxmlformats.org/officeDocument/2006/relationships/hyperlink" Target="https://ensinoiptbr-my.sharepoint.com/personal/ericaugustin_ipt_br/Documents/Documentos/Prototipos/2023/Projeto%20Controle%20Ativos/SistemaAtivos2/:f:/s/ControledeAtivos/EgoiZoTTZ55Muxu7Ul9__AkBseEYHFpCmTYHnIE0QnLfSQ?e=Ixrh6r" TargetMode="External"/><Relationship Id="rId36" Type="http://schemas.openxmlformats.org/officeDocument/2006/relationships/hyperlink" Target="https://ensinoiptbr-my.sharepoint.com/personal/ericaugustin_ipt_br/Documents/Documentos/Prototipos/2023/Projeto%20Controle%20Ativos/SistemaAtivos2/:f:/s/ControledeAtivos/EsoBWPsIYpRLuf0vxJn53-4BXLyK6EpoVwyPaJeAYxWxqA?e=ugsds1" TargetMode="External"/><Relationship Id="rId57" Type="http://schemas.openxmlformats.org/officeDocument/2006/relationships/hyperlink" Target="https://ensinoiptbr-my.sharepoint.com/personal/ericaugustin_ipt_br/Documents/Documentos/Prototipos/2023/Projeto%20Controle%20Ativos/SistemaAtivos2/:f:/s/ControledeAtivos/EnZjkDydkVhOqgQVZgzXtVkBTSgIbGvM6YsRl2DEkRmDLQ?e=IEFben" TargetMode="External"/><Relationship Id="rId106" Type="http://schemas.openxmlformats.org/officeDocument/2006/relationships/hyperlink" Target="https://ensinoiptbr.sharepoint.com/:f:/s/ControledeAtivos/Et7FP_nomRdPkeCPsX0NwO8BiBF24PQ5fFNL4ittcazYlw?e=Px1iQR" TargetMode="External"/><Relationship Id="rId127" Type="http://schemas.openxmlformats.org/officeDocument/2006/relationships/hyperlink" Target="https://ensinoiptbr.sharepoint.com/:f:/s/ControledeAtivos/En5O7DK6bvVBhV08geVBkigBYtBkFWHIVWX2WLxmSlhcvw?e=hLQQ3o" TargetMode="External"/><Relationship Id="rId10" Type="http://schemas.openxmlformats.org/officeDocument/2006/relationships/hyperlink" Target="https://ensinoiptbr-my.sharepoint.com/personal/ericaugustin_ipt_br/Documents/Documentos/Prototipos/2023/Projeto%20Controle%20Ativos/SistemaAtivos2/:f:/s/ControledeAtivos/EqV_M-M50m9Au50lEbwXRBEBGeHhz3kz24jDk3JiMQKpEw?e=gJNXhG" TargetMode="External"/><Relationship Id="rId31" Type="http://schemas.openxmlformats.org/officeDocument/2006/relationships/hyperlink" Target="https://ensinoiptbr-my.sharepoint.com/personal/ericaugustin_ipt_br/Documents/Documentos/Prototipos/2023/Projeto%20Controle%20Ativos/SistemaAtivos2/:f:/s/ControledeAtivos/ElDxKKvUul5Ougs_qZcrzrEB3F8FrkBHSbqesSDZQdMU_w?e=8ecQPK" TargetMode="External"/><Relationship Id="rId52" Type="http://schemas.openxmlformats.org/officeDocument/2006/relationships/hyperlink" Target="https://ensinoiptbr-my.sharepoint.com/personal/ericaugustin_ipt_br/Documents/Documentos/Prototipos/2023/Projeto%20Controle%20Ativos/SistemaAtivos2/:f:/s/ControledeAtivos/Eq16Kw7bB3RGlgTsvCb2uAsBBsPR-VZEqGenrtMxEVtTgw?e=KNC6hy" TargetMode="External"/><Relationship Id="rId73" Type="http://schemas.openxmlformats.org/officeDocument/2006/relationships/hyperlink" Target="https://ensinoiptbr.sharepoint.com/:f:/s/ControledeAtivos/Et5-fJ8JQ7NOjryOSNVe8GEBOUzhnKXcqKMyLNaCe9cl1A?e=fVfzAT" TargetMode="External"/><Relationship Id="rId78" Type="http://schemas.openxmlformats.org/officeDocument/2006/relationships/hyperlink" Target="https://ensinoiptbr.sharepoint.com/:f:/s/ControledeAtivos/EhiX-POW64dGpEE-Vh-2uYABrf8epNsv6x9-WbqzULr7lw?e=hGa2WI" TargetMode="External"/><Relationship Id="rId94" Type="http://schemas.openxmlformats.org/officeDocument/2006/relationships/hyperlink" Target="https://ensinoiptbr.sharepoint.com/:f:/s/ControledeAtivos/EvsArR1Qan1GqGhV9e-7_OMByLebwQGUkdnXaE_ep9UJvQ?e=nnRooo" TargetMode="External"/><Relationship Id="rId99" Type="http://schemas.openxmlformats.org/officeDocument/2006/relationships/hyperlink" Target="https://ensinoiptbr.sharepoint.com/:f:/s/ControledeAtivos/EqL4O8ZqvRRMolnAivJqB-gBcopa8t5Xr659-CMBb9SX7A?e=xiXUB3" TargetMode="External"/><Relationship Id="rId101" Type="http://schemas.openxmlformats.org/officeDocument/2006/relationships/hyperlink" Target="https://ensinoiptbr.sharepoint.com/:f:/s/ControledeAtivos/ErkCm20sKkdOgod3aPK6QTkBn7GAKIPabFXGzmxn8-zIeA?e=AYgYXw" TargetMode="External"/><Relationship Id="rId122" Type="http://schemas.openxmlformats.org/officeDocument/2006/relationships/hyperlink" Target="https://ensinoiptbr.sharepoint.com/:f:/s/ControledeAtivos/EiU8WEwtL9ZBqGaosrss7CIB0bBRJTgo1MBmhZcGbun8tQ?e=WB6UQq" TargetMode="External"/><Relationship Id="rId143" Type="http://schemas.openxmlformats.org/officeDocument/2006/relationships/hyperlink" Target="https://ensinoiptbr.sharepoint.com/:f:/s/ControledeAtivos/EtMYmxieu-JHs48lt4qcqxIB-sW4YLrYGlmK7Rk1GXSV4Q?e=5lDKvk" TargetMode="External"/><Relationship Id="rId148" Type="http://schemas.openxmlformats.org/officeDocument/2006/relationships/hyperlink" Target="https://ensinoiptbr.sharepoint.com/:f:/s/ControledeAtivos/En2jCTl1F_hGrJaiSW6PppsBE8Qfrc5dtFtKDXGNFQnOQw?e=JMJKNf" TargetMode="External"/><Relationship Id="rId164" Type="http://schemas.openxmlformats.org/officeDocument/2006/relationships/hyperlink" Target="https://ensinoiptbr.sharepoint.com/:f:/s/ControledeAtivos/ErT5few_AXpMo174xZIcPwwBVCnRSrDj0n3NMo4eDD3jZA?e=fCmpi0" TargetMode="External"/><Relationship Id="rId169" Type="http://schemas.openxmlformats.org/officeDocument/2006/relationships/hyperlink" Target="https://ensinoiptbr.sharepoint.com/:f:/s/ControledeAtivos/EgTB9vyWm9xIutW7afKHVbYBX1YHwroVl66Nhz0Tuxk7XQ?e=TOn0iE" TargetMode="External"/><Relationship Id="rId185" Type="http://schemas.openxmlformats.org/officeDocument/2006/relationships/hyperlink" Target="https://ensinoiptbr.sharepoint.com/:f:/s/ControledeAtivos/EsG9Yfh80b5Hq3zCVHan0BQB5jt_Vep7WGymQPBjG_MhNg?e=Sp108D" TargetMode="External"/><Relationship Id="rId4" Type="http://schemas.openxmlformats.org/officeDocument/2006/relationships/hyperlink" Target="https://ensinoiptbr-my.sharepoint.com/personal/ericaugustin_ipt_br/Documents/Documentos/Prototipos/2023/Projeto%20Controle%20Ativos/SistemaAtivos2/:f:/s/ControledeAtivos/EknilV__97NAtOsrSJTqK9EBsPmGzWORDn5X7e9ix6545g?e=veDE4f" TargetMode="External"/><Relationship Id="rId9" Type="http://schemas.openxmlformats.org/officeDocument/2006/relationships/hyperlink" Target="https://ensinoiptbr-my.sharepoint.com/personal/ericaugustin_ipt_br/Documents/Documentos/Prototipos/2023/Projeto%20Controle%20Ativos/SistemaAtivos2/:f:/s/ControledeAtivos/EoOp1tUcuZxBrlHrhsoF2TEBNYK0y9GxFLEkXr79YUJW8A?e=nJG7fM" TargetMode="External"/><Relationship Id="rId180" Type="http://schemas.openxmlformats.org/officeDocument/2006/relationships/hyperlink" Target="https://ensinoiptbr.sharepoint.com/:f:/s/ControledeAtivos/EosMnPhmZBZGoSaCxgV542MBDNe6L4HbsPvPH-30Z-U6bQ?e=3tqvuf" TargetMode="External"/><Relationship Id="rId210" Type="http://schemas.openxmlformats.org/officeDocument/2006/relationships/hyperlink" Target="https://ensinoiptbr.sharepoint.com/:f:/s/ControledeAtivos/EhdLYjASBjtHmvtzRbK5cKgBAB3gxTDyAY_Taf4VEyh1Yg?e=1DwAjS" TargetMode="External"/><Relationship Id="rId215" Type="http://schemas.openxmlformats.org/officeDocument/2006/relationships/hyperlink" Target="https://ensinoiptbr.sharepoint.com/:f:/s/ControledeAtivos/EiEBjFCFDfpOoYQ4j2tdZMMBs1lhEsAO2QQ9tLck-TC9DA?e=15dgdF" TargetMode="External"/><Relationship Id="rId26" Type="http://schemas.openxmlformats.org/officeDocument/2006/relationships/hyperlink" Target="https://ensinoiptbr-my.sharepoint.com/personal/ericaugustin_ipt_br/Documents/Documentos/Prototipos/2023/Projeto%20Controle%20Ativos/SistemaAtivos2/:f:/s/ControledeAtivos/EtW6dtH2GOxEg7m2uP6tM-AB88-gnkDd5Cpb9SbAMzshjw?e=0gOfQV" TargetMode="External"/><Relationship Id="rId47" Type="http://schemas.openxmlformats.org/officeDocument/2006/relationships/hyperlink" Target="https://ensinoiptbr-my.sharepoint.com/personal/ericaugustin_ipt_br/Documents/Documentos/Prototipos/2023/Projeto%20Controle%20Ativos/SistemaAtivos2/:f:/s/ControledeAtivos/EoiQzaVC-SFLgB_tFZHVka0B0o1ei--92mnqLTkhNKX4UA?e=S5EBqc" TargetMode="External"/><Relationship Id="rId68" Type="http://schemas.openxmlformats.org/officeDocument/2006/relationships/hyperlink" Target="https://ensinoiptbr-my.sharepoint.com/personal/ericaugustin_ipt_br/Documents/Documentos/Prototipos/2023/Projeto%20Controle%20Ativos/SistemaAtivos2/:f:/s/ControledeAtivos/Eo8qcJQ5ZuBCoUen3_n36zkB2jz2wRrfr44fvLLeEBGvmg?e=sdOlcN" TargetMode="External"/><Relationship Id="rId89" Type="http://schemas.openxmlformats.org/officeDocument/2006/relationships/hyperlink" Target="https://ensinoiptbr.sharepoint.com/:f:/s/ControledeAtivos/Eoe_1Z5GAEtJphmxUs-rQjwB2XiKRDDL-nptGY0Ag7lvog?e=BdrXPQ" TargetMode="External"/><Relationship Id="rId112" Type="http://schemas.openxmlformats.org/officeDocument/2006/relationships/hyperlink" Target="https://ensinoiptbr.sharepoint.com/:f:/s/ControledeAtivos/EhXyC7x6tT9FsGZ8OdQj_QcB8peFFq3d4Vb2eOozO3NosA?e=u7ZXVZ" TargetMode="External"/><Relationship Id="rId133" Type="http://schemas.openxmlformats.org/officeDocument/2006/relationships/hyperlink" Target="https://ensinoiptbr.sharepoint.com/:f:/s/ControledeAtivos/ErHMT8guPQBOtHmVNCxkO7ABX3AmxXcHhd6nzZg0KrywsQ?e=9vSPx8" TargetMode="External"/><Relationship Id="rId154" Type="http://schemas.openxmlformats.org/officeDocument/2006/relationships/hyperlink" Target="https://ensinoiptbr.sharepoint.com/:f:/s/ControledeAtivos/EkkTAJnz1qtGhpsha23B4IkB4FYIdMyk79Yku12ZXvepzw?e=InFebB" TargetMode="External"/><Relationship Id="rId175" Type="http://schemas.openxmlformats.org/officeDocument/2006/relationships/hyperlink" Target="https://ensinoiptbr.sharepoint.com/:f:/s/ControledeAtivos/Eoc79Teh5OlPrRk2etMlPt8BQWbAh6MH-nVck5qNU06M9Q?e=y90e3r" TargetMode="External"/><Relationship Id="rId196" Type="http://schemas.openxmlformats.org/officeDocument/2006/relationships/hyperlink" Target="https://ensinoiptbr.sharepoint.com/:f:/s/ControledeAtivos/EihBy9XaxgpHuyQViOfVZ9QBzCATjj9tFufKQS_VN8LT-A?e=fIEedZ" TargetMode="External"/><Relationship Id="rId200" Type="http://schemas.openxmlformats.org/officeDocument/2006/relationships/hyperlink" Target="https://ensinoiptbr.sharepoint.com/:f:/s/ControledeAtivos/EvZdbnBe-pVDlfW8yLMoyjoBLUATPEjRrAC4XWN9U3tonQ?e=a5mfUG" TargetMode="External"/><Relationship Id="rId16" Type="http://schemas.openxmlformats.org/officeDocument/2006/relationships/hyperlink" Target="https://ensinoiptbr-my.sharepoint.com/personal/ericaugustin_ipt_br/Documents/Documentos/Prototipos/2023/Projeto%20Controle%20Ativos/SistemaAtivos2/:f:/s/ControledeAtivos/EoViAzkdtoxGlnaUJSVusTEB0FwA0mkmGJOUiGhV_qjQxQ?e=AMvfZ4" TargetMode="External"/><Relationship Id="rId221" Type="http://schemas.openxmlformats.org/officeDocument/2006/relationships/printerSettings" Target="../printerSettings/printerSettings1.bin"/><Relationship Id="rId37" Type="http://schemas.openxmlformats.org/officeDocument/2006/relationships/hyperlink" Target="https://ensinoiptbr-my.sharepoint.com/personal/ericaugustin_ipt_br/Documents/Documentos/Prototipos/2023/Projeto%20Controle%20Ativos/SistemaAtivos2/:f:/s/ControledeAtivos/Eoaz5dBgy1tDvEQp7BnyJIYBlyiS_z921yNX-24z3eC0nw?e=udadQN" TargetMode="External"/><Relationship Id="rId58" Type="http://schemas.openxmlformats.org/officeDocument/2006/relationships/hyperlink" Target="https://ensinoiptbr-my.sharepoint.com/personal/ericaugustin_ipt_br/Documents/Documentos/Prototipos/2023/Projeto%20Controle%20Ativos/SistemaAtivos2/:f:/s/ControledeAtivos/Eir9Jko7WHhHivQcrJfxXS0Bws4LXkSZoNWAPeBUz3-JUA?e=tlMHNr" TargetMode="External"/><Relationship Id="rId79" Type="http://schemas.openxmlformats.org/officeDocument/2006/relationships/hyperlink" Target="https://ensinoiptbr.sharepoint.com/:f:/s/ControledeAtivos/EktE4sFspgBGlQ_sC0i8988ByyJgiufgFpiiySG89pePOA?e=dz78qh" TargetMode="External"/><Relationship Id="rId102" Type="http://schemas.openxmlformats.org/officeDocument/2006/relationships/hyperlink" Target="https://ensinoiptbr.sharepoint.com/:f:/s/ControledeAtivos/EmHVORgLDmlLuY-syGvaJm8BFx6jCyCz4wTXigFXp9AdVw?e=WOKWeM" TargetMode="External"/><Relationship Id="rId123" Type="http://schemas.openxmlformats.org/officeDocument/2006/relationships/hyperlink" Target="https://ensinoiptbr.sharepoint.com/:f:/s/ControledeAtivos/EuuP0pzwIJlKlJc0DsmR1vwB3rYkvm3zKInvFwWtWeFHAA?e=v8s49f" TargetMode="External"/><Relationship Id="rId144" Type="http://schemas.openxmlformats.org/officeDocument/2006/relationships/hyperlink" Target="https://ensinoiptbr.sharepoint.com/:f:/s/ControledeAtivos/Eu2d6t6CquFAnytlhDyyhqsBiyN-EOiwchoNllATEr5TYg?e=ZXfZhU" TargetMode="External"/><Relationship Id="rId90" Type="http://schemas.openxmlformats.org/officeDocument/2006/relationships/hyperlink" Target="https://ensinoiptbr.sharepoint.com/:f:/s/ControledeAtivos/EguVK_sVEmtCqPQ5qtFkTj0BGFz0gFDRbo3CJ7OomVOPDQ?e=V4Og89" TargetMode="External"/><Relationship Id="rId165" Type="http://schemas.openxmlformats.org/officeDocument/2006/relationships/hyperlink" Target="https://ensinoiptbr.sharepoint.com/:f:/s/ControledeAtivos/EvdaIdnomAxLkV4VcISNsrcBnVzy4uLjRuBIdc0Pw4NTbQ?e=BO1OyT" TargetMode="External"/><Relationship Id="rId186" Type="http://schemas.openxmlformats.org/officeDocument/2006/relationships/hyperlink" Target="https://ensinoiptbr.sharepoint.com/:f:/s/ControledeAtivos/Ep9t4HjoRzZJlJosZ5hu2PgB05FDWv3cC1VrDQ-zCXlVgw?e=Q1XQcp" TargetMode="External"/><Relationship Id="rId211" Type="http://schemas.openxmlformats.org/officeDocument/2006/relationships/hyperlink" Target="https://ensinoiptbr.sharepoint.com/:f:/s/ControledeAtivos/EuT87nhL8IFIjGHwbLrimmMBjCy2eryh6BSWHijOZsJWLg?e=LgkFzC" TargetMode="External"/><Relationship Id="rId27" Type="http://schemas.openxmlformats.org/officeDocument/2006/relationships/hyperlink" Target="https://ensinoiptbr-my.sharepoint.com/personal/ericaugustin_ipt_br/Documents/Documentos/Prototipos/2023/Projeto%20Controle%20Ativos/SistemaAtivos2/:f:/s/ControledeAtivos/EsAxz8CNxtNKsmU4ObrcBOMB2GHWP287e2S7M0fD4kSaag?e=giKqd3" TargetMode="External"/><Relationship Id="rId48" Type="http://schemas.openxmlformats.org/officeDocument/2006/relationships/hyperlink" Target="https://ensinoiptbr-my.sharepoint.com/personal/ericaugustin_ipt_br/Documents/Documentos/Prototipos/2023/Projeto%20Controle%20Ativos/SistemaAtivos2/:f:/s/ControledeAtivos/EmSkrlqN4TpNge3zmZejwC0BQaDCQFBD7krWt1t6fnSz-Q?e=Wj9y5t" TargetMode="External"/><Relationship Id="rId69" Type="http://schemas.openxmlformats.org/officeDocument/2006/relationships/hyperlink" Target="https://ensinoiptbr-my.sharepoint.com/personal/ericaugustin_ipt_br/Documents/Documentos/Prototipos/2023/Projeto%20Controle%20Ativos/SistemaAtivos2/:f:/s/ControledeAtivos/Eixg06LKJXhKopU6lQx4UZoBXvxSa3W6LCLt3vqCLFGgnQ?e=ioemaZ" TargetMode="External"/><Relationship Id="rId113" Type="http://schemas.openxmlformats.org/officeDocument/2006/relationships/hyperlink" Target="https://ensinoiptbr.sharepoint.com/:f:/s/ControledeAtivos/EjkqALvpX8BKtESkuDYsGmsBHhfzgDguiYAk9rPOEhIzCQ?e=Y7fNPe" TargetMode="External"/><Relationship Id="rId134" Type="http://schemas.openxmlformats.org/officeDocument/2006/relationships/hyperlink" Target="http://ensinoiptbr.sharepoint.com/sites/controledeativos/documentos%20partilhados/predio02/lab_metalografico/cut%20off%20delta.jpg?web=1" TargetMode="External"/><Relationship Id="rId80" Type="http://schemas.openxmlformats.org/officeDocument/2006/relationships/hyperlink" Target="https://ensinoiptbr.sharepoint.com/:f:/s/ControledeAtivos/Et0akdXJHJJAnFG3F609ukgBmvIyKeDXs4eahgJZtxJ_Sg?e=mtZTmZ" TargetMode="External"/><Relationship Id="rId155" Type="http://schemas.openxmlformats.org/officeDocument/2006/relationships/hyperlink" Target="https://ensinoiptbr.sharepoint.com/:f:/s/ControledeAtivos/Egxjtj6ZJdRGp3Ng8w0dagsB5gKmXktyKdby5xurtXWnug?e=OPYvSc" TargetMode="External"/><Relationship Id="rId176" Type="http://schemas.openxmlformats.org/officeDocument/2006/relationships/hyperlink" Target="https://ensinoiptbr.sharepoint.com/:f:/s/ControledeAtivos/EnyVbZKv7H1HjJanJzYbGywBcalwWqSmewVI9nOO9f23Mw?e=SXHPlt" TargetMode="External"/><Relationship Id="rId197" Type="http://schemas.openxmlformats.org/officeDocument/2006/relationships/hyperlink" Target="https://ensinoiptbr.sharepoint.com/:f:/s/ControledeAtivos/EoMF3t9x5cFAj4tFasUUi7YBSRgoXWUmSS8OGPz2eSJ0Ug?e=qbn1ra" TargetMode="External"/><Relationship Id="rId201" Type="http://schemas.openxmlformats.org/officeDocument/2006/relationships/hyperlink" Target="https://ensinoiptbr.sharepoint.com/:f:/s/ControledeAtivos/EqZ9Toymuv5CjvifyrLk16kBV1COEYXCo7FDuBt9VowCuQ?e=qd3aFR" TargetMode="External"/><Relationship Id="rId17" Type="http://schemas.openxmlformats.org/officeDocument/2006/relationships/hyperlink" Target="https://ensinoiptbr-my.sharepoint.com/personal/ericaugustin_ipt_br/Documents/Documentos/Prototipos/2023/Projeto%20Controle%20Ativos/SistemaAtivos2/:f:/s/ControledeAtivos/Er6xQ8Pc6npJiOjKJKGwcvwBmLvhxE3fdBWxK3wRoHTGrA?e=2gZyTO" TargetMode="External"/><Relationship Id="rId38" Type="http://schemas.openxmlformats.org/officeDocument/2006/relationships/hyperlink" Target="https://ensinoiptbr-my.sharepoint.com/personal/ericaugustin_ipt_br/Documents/Documentos/Prototipos/2023/Projeto%20Controle%20Ativos/SistemaAtivos2/:f:/s/ControledeAtivos/Erw5WU0Nqb9Aps3KtLgTMNUB0i5o4QAFklQ4iFMVFA3b4A?e=eDDGdv" TargetMode="External"/><Relationship Id="rId59" Type="http://schemas.openxmlformats.org/officeDocument/2006/relationships/hyperlink" Target="https://ensinoiptbr-my.sharepoint.com/personal/ericaugustin_ipt_br/Documents/Documentos/Prototipos/2023/Projeto%20Controle%20Ativos/SistemaAtivos2/:f:/s/ControledeAtivos/Eo0BA17GMExJnmWtLTXAyoUBIb_cjROslyFVMFU3K0PD2g?e=8idIGy" TargetMode="External"/><Relationship Id="rId103" Type="http://schemas.openxmlformats.org/officeDocument/2006/relationships/hyperlink" Target="https://ensinoiptbr.sharepoint.com/:f:/s/ControledeAtivos/EltTQAm9HNZHiQOy0xTXSfIB8OiMZ4HfbTEBvOIKmDT6Dg?e=Rcdgsa" TargetMode="External"/><Relationship Id="rId124" Type="http://schemas.openxmlformats.org/officeDocument/2006/relationships/hyperlink" Target="https://ensinoiptbr.sharepoint.com/:f:/s/ControledeAtivos/EsZ0S8xeEgRBvUVgrECvY00BRB4AFyeHV1U6iZPlB5DE1g?e=92ySPk" TargetMode="External"/><Relationship Id="rId70" Type="http://schemas.openxmlformats.org/officeDocument/2006/relationships/hyperlink" Target="https://ensinoiptbr.sharepoint.com/:f:/s/ControledeAtivos/EhQnEokHWh9DkNfy6hU6erABEK6t-fcINfa-y6dS51NHIg?e=8jjfw5" TargetMode="External"/><Relationship Id="rId91" Type="http://schemas.openxmlformats.org/officeDocument/2006/relationships/hyperlink" Target="https://ensinoiptbr.sharepoint.com/:f:/s/ControledeAtivos/Es1KFXxdORlMmeohFKbBhA4BEH4Cl0f2wmowcgbgSFHdGg?e=mjufhT" TargetMode="External"/><Relationship Id="rId145" Type="http://schemas.openxmlformats.org/officeDocument/2006/relationships/hyperlink" Target="https://ensinoiptbr.sharepoint.com/:f:/s/ControledeAtivos/EmI5uhLiwCxKjwCSLwXnF8YBuMy_MOld0kuF4p8MkDKGhA?e=qWaNjH" TargetMode="External"/><Relationship Id="rId166" Type="http://schemas.openxmlformats.org/officeDocument/2006/relationships/hyperlink" Target="https://ensinoiptbr.sharepoint.com/:f:/s/ControledeAtivos/EtA34-sWDKpDvX14RY0IOv4Ba8_nhSDn_fMwjETIGM1ztw?e=gN8nxz" TargetMode="External"/><Relationship Id="rId187" Type="http://schemas.openxmlformats.org/officeDocument/2006/relationships/hyperlink" Target="https://ensinoiptbr.sharepoint.com/:f:/s/ControledeAtivos/EteKpX5qor1LpXaIMGC5IPAB1bG1VwnbfQhIr93amRm_qQ?e=QHjtaY" TargetMode="External"/><Relationship Id="rId1" Type="http://schemas.openxmlformats.org/officeDocument/2006/relationships/hyperlink" Target="https://ensinoiptbr-my.sharepoint.com/personal/ericaugustin_ipt_br/Documents/Documentos/Prototipos/2023/Projeto%20Controle%20Ativos/SistemaAtivos2/:f:/s/ControledeAtivos/ErG3_S4F15hFmafWZaRjgKQB1x_K3ptdNhKla12QvdY8iw?e=CkqVAs" TargetMode="External"/><Relationship Id="rId212" Type="http://schemas.openxmlformats.org/officeDocument/2006/relationships/hyperlink" Target="https://ensinoiptbr.sharepoint.com/:f:/s/ControledeAtivos/Eg7ofUDoZLpLohRejMql58gBsTIBg31KpZXXhYWIr87F7A?e=S414j6" TargetMode="External"/><Relationship Id="rId28" Type="http://schemas.openxmlformats.org/officeDocument/2006/relationships/hyperlink" Target="https://ensinoiptbr-my.sharepoint.com/personal/ericaugustin_ipt_br/Documents/Documentos/Prototipos/2023/Projeto%20Controle%20Ativos/SistemaAtivos2/:f:/s/ControledeAtivos/En9ILS3alb1Lva7W_FVh5ewB3n_okjUO7lPq4G-OAVC2Mg?e=JfEH9m" TargetMode="External"/><Relationship Id="rId49" Type="http://schemas.openxmlformats.org/officeDocument/2006/relationships/hyperlink" Target="https://ensinoiptbr-my.sharepoint.com/personal/ericaugustin_ipt_br/Documents/Documentos/Prototipos/2023/Projeto%20Controle%20Ativos/SistemaAtivos2/:f:/s/ControledeAtivos/Ej6lynUXWyxMuIxr-U4Gy30BYPOHWtKCddzhqpGR8FgceA?e=caHmin" TargetMode="External"/><Relationship Id="rId114" Type="http://schemas.openxmlformats.org/officeDocument/2006/relationships/hyperlink" Target="https://ensinoiptbr.sharepoint.com/:f:/s/ControledeAtivos/EmVGozBOv7ZGuufSctPWqlYBp_WTjhNJAdS4-vNiUAHMQA?e=KKKGhD" TargetMode="External"/><Relationship Id="rId60" Type="http://schemas.openxmlformats.org/officeDocument/2006/relationships/hyperlink" Target="https://ensinoiptbr-my.sharepoint.com/personal/ericaugustin_ipt_br/Documents/Documentos/Prototipos/2023/Projeto%20Controle%20Ativos/SistemaAtivos2/:f:/s/ControledeAtivos/ErCLFIyMHNBKhdytttu47AkBP2_y0sRQJo1Y4EsJ6EFh8g?e=FRckzb" TargetMode="External"/><Relationship Id="rId81" Type="http://schemas.openxmlformats.org/officeDocument/2006/relationships/hyperlink" Target="https://ensinoiptbr.sharepoint.com/:f:/s/ControledeAtivos/Elf1fqUKjDBLruOhdMrr97IB99i_qAaaZid3txAL8RN_EA?e=Cx1NfQ" TargetMode="External"/><Relationship Id="rId135" Type="http://schemas.openxmlformats.org/officeDocument/2006/relationships/hyperlink" Target="http://ensinoiptbr.sharepoint.com/sites/controledeativos/documentos%20partilhados/predio02/lab_metalografico/cut%20off%20cor%20100.jpg?web=1" TargetMode="External"/><Relationship Id="rId156" Type="http://schemas.openxmlformats.org/officeDocument/2006/relationships/hyperlink" Target="https://ensinoiptbr.sharepoint.com/:f:/s/ControledeAtivos/EuQk_FnSsAhPvJvrb_7uP8QBA_PQprKzQSUDs8CGAUbiLQ?e=PuA6XW" TargetMode="External"/><Relationship Id="rId177" Type="http://schemas.openxmlformats.org/officeDocument/2006/relationships/hyperlink" Target="https://ensinoiptbr.sharepoint.com/:f:/s/ControledeAtivos/Eoy9EIkrDBhOlWWaMyWK5yYBuz5bN-xV0_a4mucJoRiNog?e=8kHHzq" TargetMode="External"/><Relationship Id="rId198" Type="http://schemas.openxmlformats.org/officeDocument/2006/relationships/hyperlink" Target="https://ensinoiptbr.sharepoint.com/:f:/s/ControledeAtivos/EqGuPsA1bEBEkIWpUmCSKc0Bo4OQ_KLG95xSxbciDSegew?e=Q8l2M3" TargetMode="External"/><Relationship Id="rId202" Type="http://schemas.openxmlformats.org/officeDocument/2006/relationships/hyperlink" Target="https://ensinoiptbr.sharepoint.com/:f:/s/ControledeAtivos/En9ybzj8gaBCgn12CjIIutIBLJiSpwegANTz_piGsDLhZw?e=Xbqbfw" TargetMode="External"/><Relationship Id="rId18" Type="http://schemas.openxmlformats.org/officeDocument/2006/relationships/hyperlink" Target="https://ensinoiptbr-my.sharepoint.com/personal/ericaugustin_ipt_br/Documents/Documentos/Prototipos/2023/Projeto%20Controle%20Ativos/SistemaAtivos2/:f:/s/ControledeAtivos/EqWR8_xuJ6NJp7LCFXIEZ5UBYbmJb1xURi2HULHDqwS8bg?e=mKtPga" TargetMode="External"/><Relationship Id="rId39" Type="http://schemas.openxmlformats.org/officeDocument/2006/relationships/hyperlink" Target="https://ensinoiptbr-my.sharepoint.com/personal/ericaugustin_ipt_br/Documents/Documentos/Prototipos/2023/Projeto%20Controle%20Ativos/SistemaAtivos2/:f:/s/ControledeAtivos/EtFCklkKvHFOrB1tHWPjHxcBG4XVrGWYME5IJiozvh1LDg?e=SVKonQ" TargetMode="External"/><Relationship Id="rId50" Type="http://schemas.openxmlformats.org/officeDocument/2006/relationships/hyperlink" Target="https://ensinoiptbr-my.sharepoint.com/personal/ericaugustin_ipt_br/Documents/Documentos/Prototipos/2023/Projeto%20Controle%20Ativos/SistemaAtivos2/:f:/s/ControledeAtivos/EmRSnXA-gu5KujKqYahkJUABRqH2oEXw-uh3dihZIY8TjQ?e=MDvLvj" TargetMode="External"/><Relationship Id="rId104" Type="http://schemas.openxmlformats.org/officeDocument/2006/relationships/hyperlink" Target="https://ensinoiptbr.sharepoint.com/:f:/s/ControledeAtivos/EsR90jbi1V1Fq23_IqwRL_MB2ib8Nhd2NOqKKZkJ3yPZEw?e=FTXJJd" TargetMode="External"/><Relationship Id="rId125" Type="http://schemas.openxmlformats.org/officeDocument/2006/relationships/hyperlink" Target="https://ensinoiptbr.sharepoint.com/:f:/s/ControledeAtivos/Eh2R_auM8HNEqScg1eEz-ocBRQIpu46xCNovwBYm_hmrTw?e=VYumpg" TargetMode="External"/><Relationship Id="rId146" Type="http://schemas.openxmlformats.org/officeDocument/2006/relationships/hyperlink" Target="https://ensinoiptbr.sharepoint.com/:f:/s/ControledeAtivos/EnI71H_nIIJNnwKT45_1g58BASNaw6iz5KOEbrGykzldFg?e=fFTz15" TargetMode="External"/><Relationship Id="rId167" Type="http://schemas.openxmlformats.org/officeDocument/2006/relationships/hyperlink" Target="https://ensinoiptbr.sharepoint.com/:f:/s/ControledeAtivos/EupNZDWAJCVAsfSKQr5SQaIB6bZiszjxlPZtTThbn10nyA?e=x3sdpT" TargetMode="External"/><Relationship Id="rId188" Type="http://schemas.openxmlformats.org/officeDocument/2006/relationships/hyperlink" Target="https://ensinoiptbr.sharepoint.com/:f:/s/ControledeAtivos/EoMTJTMjgSlAp46hSv44ICMBlBGpsVAS0JO8Xxnw4f9cXA?e=XbfcgU" TargetMode="External"/><Relationship Id="rId71" Type="http://schemas.openxmlformats.org/officeDocument/2006/relationships/hyperlink" Target="https://ensinoiptbr.sharepoint.com/:f:/s/ControledeAtivos/EuYN3shu8zNPj4c2ybgot9EBVNivVfvykZgrd4XPNG59yg?e=XWUnRf" TargetMode="External"/><Relationship Id="rId92" Type="http://schemas.openxmlformats.org/officeDocument/2006/relationships/hyperlink" Target="https://ensinoiptbr.sharepoint.com/:f:/s/ControledeAtivos/Ep0Bajc4nb9Esa7AfQ3tNokBDH5lEZFukF6WfjVsxOqASQ?e=pbffZR" TargetMode="External"/><Relationship Id="rId213" Type="http://schemas.openxmlformats.org/officeDocument/2006/relationships/hyperlink" Target="https://ensinoiptbr.sharepoint.com/:f:/s/ControledeAtivos/EipspponA85IvOr8cN9yCeMBZj3Qgsu1LViAoehceaRxhA?e=f8DYRC" TargetMode="External"/><Relationship Id="rId2" Type="http://schemas.openxmlformats.org/officeDocument/2006/relationships/hyperlink" Target="https://ensinoiptbr-my.sharepoint.com/personal/ericaugustin_ipt_br/Documents/Documentos/Prototipos/2023/Projeto%20Controle%20Ativos/SistemaAtivos2/:f:/s/ControledeAtivos/EgCb3IH_-8VAi86N5EsuWjYB1VlGBHauj7BAwus-40z3mg?e=wASirq" TargetMode="External"/><Relationship Id="rId29" Type="http://schemas.openxmlformats.org/officeDocument/2006/relationships/hyperlink" Target="https://ensinoiptbr-my.sharepoint.com/personal/ericaugustin_ipt_br/Documents/Documentos/Prototipos/2023/Projeto%20Controle%20Ativos/SistemaAtivos2/:f:/s/ControledeAtivos/Eo1_w9TWmgxCpR_32OvZl0gBkaD4RQ61s0n9CYgtQwH-Aw?e=9AbvB3" TargetMode="External"/><Relationship Id="rId40" Type="http://schemas.openxmlformats.org/officeDocument/2006/relationships/hyperlink" Target="https://ensinoiptbr-my.sharepoint.com/personal/ericaugustin_ipt_br/Documents/Documentos/Prototipos/2023/Projeto%20Controle%20Ativos/SistemaAtivos2/:f:/s/ControledeAtivos/EhZTcn3S9y9AovIXP9kGuSQBOPVq7KY6JtExupNYz3sZKQ?e=ibFNn8" TargetMode="External"/><Relationship Id="rId115" Type="http://schemas.openxmlformats.org/officeDocument/2006/relationships/hyperlink" Target="https://ensinoiptbr.sharepoint.com/:f:/s/ControledeAtivos/EhxHNIDbw-tBl7rgehSFKlABNbHPCJtmwFBFVm6fYtoe4g?e=npolib" TargetMode="External"/><Relationship Id="rId136" Type="http://schemas.openxmlformats.org/officeDocument/2006/relationships/hyperlink" Target="https://ensinoiptbr.sharepoint.com/:f:/s/ControledeAtivos/EmKA7yz-4M5ArcjWgLips4QB2Tq1LJFjzj0SOdYsZ0EOgQ?e=Rs4mas" TargetMode="External"/><Relationship Id="rId157" Type="http://schemas.openxmlformats.org/officeDocument/2006/relationships/hyperlink" Target="https://ensinoiptbr.sharepoint.com/:f:/s/ControledeAtivos/Eh1H7um41RtDmagvxAJbzxgBsnOdXqE7dGLkGUjJF8u3NQ?e=kD8MDT" TargetMode="External"/><Relationship Id="rId178" Type="http://schemas.openxmlformats.org/officeDocument/2006/relationships/hyperlink" Target="https://ensinoiptbr.sharepoint.com/:f:/s/ControledeAtivos/Et7DGYxCjRFJmUd32iAlHvoBmZg1Ck6DunHO0O-LBOOa-g?e=kfCIyw" TargetMode="External"/><Relationship Id="rId61" Type="http://schemas.openxmlformats.org/officeDocument/2006/relationships/hyperlink" Target="https://ensinoiptbr-my.sharepoint.com/personal/ericaugustin_ipt_br/Documents/Documentos/Prototipos/2023/Projeto%20Controle%20Ativos/SistemaAtivos2/:f:/s/ControledeAtivos/EvAAJV4xfF1FvznpZHiRojkBWZIpSvlZoUxRHVSxNkK6AA?e=1GHVqm" TargetMode="External"/><Relationship Id="rId82" Type="http://schemas.openxmlformats.org/officeDocument/2006/relationships/hyperlink" Target="https://ensinoiptbr.sharepoint.com/:f:/s/ControledeAtivos/EjF55H0QdiVCp3HzaShqfDIBAVDJWUJ-8TXdlKE-ePfYfQ?e=1hid1v" TargetMode="External"/><Relationship Id="rId199" Type="http://schemas.openxmlformats.org/officeDocument/2006/relationships/hyperlink" Target="https://ensinoiptbr.sharepoint.com/:f:/s/ControledeAtivos/EvKNvdOgUotPhuKJrtPgP7ABsfe-xw_RouFsZuo0SKGVSQ?e=IYpXQN" TargetMode="External"/><Relationship Id="rId203" Type="http://schemas.openxmlformats.org/officeDocument/2006/relationships/hyperlink" Target="https://ensinoiptbr.sharepoint.com/:f:/s/ControledeAtivos/EuBiIN9vDshPrs3lnHCdNSIBv7mutuWCNbq__78Ogxq4eg?e=6hcv8G" TargetMode="External"/><Relationship Id="rId19" Type="http://schemas.openxmlformats.org/officeDocument/2006/relationships/hyperlink" Target="https://ensinoiptbr-my.sharepoint.com/personal/ericaugustin_ipt_br/Documents/Documentos/Prototipos/2023/Projeto%20Controle%20Ativos/SistemaAtivos2/:f:/s/ControledeAtivos/EoWIC-H0qXhDnJj6qsQ70-gBY0_2x4V_JILVsTPWFHEbuA?e=hKnJNX" TargetMode="External"/><Relationship Id="rId30" Type="http://schemas.openxmlformats.org/officeDocument/2006/relationships/hyperlink" Target="https://ensinoiptbr-my.sharepoint.com/personal/ericaugustin_ipt_br/Documents/Documentos/Prototipos/2023/Projeto%20Controle%20Ativos/SistemaAtivos2/:f:/s/ControledeAtivos/EixSrwwHs-BIpRWCvUUiLpUB4M83BLAckyJgnace04mKHQ?e=h6xG50" TargetMode="External"/><Relationship Id="rId105" Type="http://schemas.openxmlformats.org/officeDocument/2006/relationships/hyperlink" Target="https://ensinoiptbr.sharepoint.com/:f:/s/ControledeAtivos/Eu6PEuBlXudHoOuKh134_HYBT-vQlkJiwmw_RJ21J4efJA?e=ioELIp" TargetMode="External"/><Relationship Id="rId126" Type="http://schemas.openxmlformats.org/officeDocument/2006/relationships/hyperlink" Target="https://ensinoiptbr.sharepoint.com/:f:/s/ControledeAtivos/Ep1uUFer545Eo038dSTUatQBcDZXlBn7R3xRLMlEFqWWFw?e=qh0pEg" TargetMode="External"/><Relationship Id="rId147" Type="http://schemas.openxmlformats.org/officeDocument/2006/relationships/hyperlink" Target="https://ensinoiptbr.sharepoint.com/:f:/s/ControledeAtivos/Etk9hfTtrmBMkd4ziGY8ws8BWmA2pfeDVqiKwcV-jLXwKA?e=4ohVHJ" TargetMode="External"/><Relationship Id="rId168" Type="http://schemas.openxmlformats.org/officeDocument/2006/relationships/hyperlink" Target="https://ensinoiptbr.sharepoint.com/:f:/s/ControledeAtivos/EjrzdsIVHYlCuSnDusSGEZUBOewpeWPWTf0Yc-q8MjocGw?e=VXIIq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476"/>
  <sheetViews>
    <sheetView tabSelected="1" zoomScale="70" zoomScaleNormal="70" workbookViewId="0">
      <pane ySplit="1" topLeftCell="A2" activePane="bottomLeft" state="frozen"/>
      <selection pane="bottomLeft" activeCell="C447" sqref="C447"/>
    </sheetView>
  </sheetViews>
  <sheetFormatPr defaultColWidth="12.109375" defaultRowHeight="15.6" x14ac:dyDescent="0.3"/>
  <cols>
    <col min="1" max="1" width="7.88671875" style="1" customWidth="1"/>
    <col min="2" max="2" width="10.33203125" style="1" customWidth="1"/>
    <col min="3" max="4" width="13.6640625" style="1" customWidth="1"/>
    <col min="5" max="5" width="12" style="1" customWidth="1"/>
    <col min="6" max="6" width="30.44140625" style="1" customWidth="1"/>
    <col min="7" max="7" width="8.5546875" style="1" customWidth="1"/>
    <col min="8" max="8" width="21.44140625" style="1" customWidth="1"/>
    <col min="9" max="9" width="14.6640625" style="1" customWidth="1"/>
    <col min="10" max="10" width="20.6640625" style="1" customWidth="1"/>
    <col min="11" max="11" width="10.109375" style="1" customWidth="1"/>
    <col min="12" max="12" width="10.44140625" style="68" customWidth="1"/>
    <col min="13" max="13" width="13.33203125" style="1" customWidth="1"/>
    <col min="14" max="14" width="27" style="1" customWidth="1"/>
    <col min="15" max="15" width="17.109375" style="1" customWidth="1"/>
    <col min="16" max="19" width="12.109375" style="1"/>
    <col min="20" max="20" width="18.88671875" style="1" customWidth="1"/>
    <col min="21" max="21" width="18" style="1" bestFit="1" customWidth="1"/>
    <col min="22" max="22" width="40.109375" style="1" bestFit="1" customWidth="1"/>
    <col min="23" max="23" width="12.109375" style="1"/>
    <col min="24" max="24" width="15.109375" style="1" customWidth="1"/>
    <col min="25" max="26" width="12.109375" style="1"/>
    <col min="27" max="27" width="15.88671875" style="1" customWidth="1"/>
    <col min="28" max="28" width="18.5546875" style="4" customWidth="1"/>
    <col min="29" max="29" width="23.5546875" style="1" customWidth="1"/>
    <col min="30" max="30" width="14.33203125" style="1" customWidth="1"/>
    <col min="31" max="31" width="23.109375" style="14" customWidth="1"/>
    <col min="32" max="32" width="51.5546875" style="1" bestFit="1" customWidth="1"/>
    <col min="33" max="33" width="34.88671875" style="1" customWidth="1"/>
    <col min="34" max="34" width="26.33203125" style="1" customWidth="1"/>
    <col min="35" max="35" width="12.88671875" style="4" customWidth="1"/>
    <col min="36" max="36" width="38.5546875" style="1" customWidth="1"/>
    <col min="37" max="37" width="35" style="2" customWidth="1"/>
    <col min="38" max="38" width="12.109375" style="2"/>
    <col min="39" max="39" width="83.88671875" style="65" customWidth="1"/>
    <col min="40" max="16384" width="12.109375" style="2"/>
  </cols>
  <sheetData>
    <row r="1" spans="1:39" ht="43.2" x14ac:dyDescent="0.3">
      <c r="A1" s="3" t="s">
        <v>0</v>
      </c>
      <c r="B1" s="3" t="s">
        <v>1</v>
      </c>
      <c r="C1" s="3" t="s">
        <v>2</v>
      </c>
      <c r="D1" s="3" t="s">
        <v>2587</v>
      </c>
      <c r="E1" s="3" t="s">
        <v>2569</v>
      </c>
      <c r="F1" s="3" t="s">
        <v>2570</v>
      </c>
      <c r="G1" s="3" t="s">
        <v>3</v>
      </c>
      <c r="H1" s="3" t="s">
        <v>4</v>
      </c>
      <c r="I1" s="3" t="s">
        <v>5</v>
      </c>
      <c r="J1" s="3" t="s">
        <v>6</v>
      </c>
      <c r="K1" s="3" t="s">
        <v>7</v>
      </c>
      <c r="L1" s="67" t="s">
        <v>8</v>
      </c>
      <c r="M1" s="3" t="s">
        <v>9</v>
      </c>
      <c r="N1" s="3" t="s">
        <v>2571</v>
      </c>
      <c r="O1" s="3" t="s">
        <v>10</v>
      </c>
      <c r="P1" s="3" t="s">
        <v>11</v>
      </c>
      <c r="Q1" s="3" t="s">
        <v>12</v>
      </c>
      <c r="R1" s="3" t="s">
        <v>13</v>
      </c>
      <c r="S1" s="3" t="s">
        <v>14</v>
      </c>
      <c r="T1" s="3" t="s">
        <v>15</v>
      </c>
      <c r="U1" s="3" t="s">
        <v>16</v>
      </c>
      <c r="V1" s="3" t="s">
        <v>17</v>
      </c>
      <c r="W1" s="3" t="s">
        <v>18</v>
      </c>
      <c r="X1" s="3" t="s">
        <v>19</v>
      </c>
      <c r="Y1" s="3" t="s">
        <v>20</v>
      </c>
      <c r="Z1" s="3" t="s">
        <v>21</v>
      </c>
      <c r="AA1" s="3" t="s">
        <v>22</v>
      </c>
      <c r="AB1" s="57" t="s">
        <v>2577</v>
      </c>
      <c r="AC1" s="3" t="s">
        <v>2576</v>
      </c>
      <c r="AD1" s="3" t="s">
        <v>2575</v>
      </c>
      <c r="AE1" s="13" t="s">
        <v>2574</v>
      </c>
      <c r="AF1" s="3" t="s">
        <v>2573</v>
      </c>
      <c r="AG1" s="3" t="s">
        <v>2572</v>
      </c>
      <c r="AH1" s="3" t="s">
        <v>23</v>
      </c>
      <c r="AI1" s="57" t="s">
        <v>24</v>
      </c>
      <c r="AJ1" s="3" t="s">
        <v>2578</v>
      </c>
      <c r="AK1" s="2" t="s">
        <v>25</v>
      </c>
      <c r="AM1" s="65" t="s">
        <v>2568</v>
      </c>
    </row>
    <row r="2" spans="1:39" ht="81" x14ac:dyDescent="0.35">
      <c r="A2" s="1" t="s">
        <v>26</v>
      </c>
      <c r="B2" s="1">
        <v>2</v>
      </c>
      <c r="C2" s="1" t="s">
        <v>1281</v>
      </c>
      <c r="D2" s="1" t="s">
        <v>739</v>
      </c>
      <c r="F2" s="1" t="s">
        <v>1282</v>
      </c>
      <c r="H2" s="1" t="s">
        <v>464</v>
      </c>
      <c r="I2" s="1" t="s">
        <v>1283</v>
      </c>
      <c r="J2" s="1" t="s">
        <v>1284</v>
      </c>
      <c r="K2" s="1" t="s">
        <v>1285</v>
      </c>
      <c r="L2" s="68">
        <v>141284.56</v>
      </c>
      <c r="O2" s="1" t="s">
        <v>1286</v>
      </c>
      <c r="P2" s="1">
        <v>1800</v>
      </c>
      <c r="Q2" s="1" t="s">
        <v>97</v>
      </c>
      <c r="R2" s="1">
        <v>220</v>
      </c>
      <c r="S2" s="1">
        <v>220</v>
      </c>
      <c r="T2" s="1" t="s">
        <v>1287</v>
      </c>
      <c r="U2" s="1" t="s">
        <v>1288</v>
      </c>
      <c r="V2" s="1" t="s">
        <v>1289</v>
      </c>
      <c r="AA2" s="1" t="s">
        <v>1290</v>
      </c>
      <c r="AB2" s="4">
        <v>43363</v>
      </c>
      <c r="AC2" s="1" t="s">
        <v>1291</v>
      </c>
      <c r="AE2" s="14">
        <v>5800</v>
      </c>
      <c r="AF2" s="1" t="s">
        <v>1292</v>
      </c>
      <c r="AH2" s="1" t="s">
        <v>862</v>
      </c>
      <c r="AI2" s="4">
        <v>44813</v>
      </c>
      <c r="AJ2" s="12" t="s">
        <v>1293</v>
      </c>
      <c r="AM2" s="66" t="str">
        <f>ExtrairCaminhoHiperlink(AJ2)</f>
        <v>https://ensinoiptbr-my.sharepoint.com/personal/ericaugustin_ipt_br/Documents/Documentos/Prototipos/2023/Projeto Controle Ativos/SistemaAtivos2/:f:/s/ControledeAtivos/EknilV__97NAtOsrSJTqK9EBsPmGzWORDn5X7e9ix6545g?e=veDE4f</v>
      </c>
    </row>
    <row r="3" spans="1:39" ht="81" x14ac:dyDescent="0.35">
      <c r="A3" s="1" t="s">
        <v>26</v>
      </c>
      <c r="B3" s="1">
        <v>2</v>
      </c>
      <c r="C3" s="1" t="s">
        <v>1281</v>
      </c>
      <c r="D3" s="1" t="s">
        <v>739</v>
      </c>
      <c r="F3" s="1" t="s">
        <v>1294</v>
      </c>
      <c r="H3" s="1" t="s">
        <v>1295</v>
      </c>
      <c r="I3" s="1" t="s">
        <v>1296</v>
      </c>
      <c r="J3" s="1" t="s">
        <v>1297</v>
      </c>
      <c r="K3" s="1" t="s">
        <v>1285</v>
      </c>
      <c r="O3" s="1" t="s">
        <v>1286</v>
      </c>
      <c r="P3" s="1">
        <v>5</v>
      </c>
      <c r="Q3" s="1" t="s">
        <v>33</v>
      </c>
      <c r="R3" s="1">
        <v>220</v>
      </c>
      <c r="S3" s="1">
        <v>230</v>
      </c>
      <c r="T3" s="1" t="s">
        <v>1287</v>
      </c>
      <c r="U3" s="1" t="s">
        <v>1288</v>
      </c>
      <c r="V3" s="1" t="s">
        <v>1298</v>
      </c>
      <c r="AA3" s="1" t="s">
        <v>354</v>
      </c>
      <c r="AB3" s="4">
        <v>40179</v>
      </c>
      <c r="AC3" s="1" t="s">
        <v>1299</v>
      </c>
      <c r="AD3" s="1" t="s">
        <v>85</v>
      </c>
      <c r="AF3" s="1" t="s">
        <v>1300</v>
      </c>
      <c r="AG3" s="1" t="s">
        <v>1301</v>
      </c>
      <c r="AH3" s="1" t="s">
        <v>862</v>
      </c>
      <c r="AI3" s="4">
        <v>44838</v>
      </c>
      <c r="AJ3" s="12" t="s">
        <v>1296</v>
      </c>
      <c r="AM3" s="66" t="str">
        <f t="shared" ref="AM3:AM66" si="0">ExtrairCaminhoHiperlink(AJ3)</f>
        <v>https://ensinoiptbr-my.sharepoint.com/personal/ericaugustin_ipt_br/Documents/Documentos/Prototipos/2023/Projeto Controle Ativos/SistemaAtivos2/:f:/s/ControledeAtivos/Ehjh1fH3HfhMqWBdQ5P4OJUBT1Lv9_F0TOaJ5falIYO5TQ?e=cGb0qI</v>
      </c>
    </row>
    <row r="4" spans="1:39" ht="81" x14ac:dyDescent="0.35">
      <c r="A4" s="1" t="s">
        <v>26</v>
      </c>
      <c r="B4" s="1">
        <v>2</v>
      </c>
      <c r="C4" s="1" t="s">
        <v>1281</v>
      </c>
      <c r="D4" s="1" t="s">
        <v>739</v>
      </c>
      <c r="F4" s="1" t="s">
        <v>1302</v>
      </c>
      <c r="H4" s="1" t="s">
        <v>1295</v>
      </c>
      <c r="I4" s="1" t="s">
        <v>1303</v>
      </c>
      <c r="J4" s="1" t="s">
        <v>1297</v>
      </c>
      <c r="K4" s="1" t="s">
        <v>1285</v>
      </c>
      <c r="L4" s="68">
        <v>158537.35</v>
      </c>
      <c r="O4" s="1" t="s">
        <v>1286</v>
      </c>
      <c r="P4" s="1">
        <v>5</v>
      </c>
      <c r="Q4" s="1" t="s">
        <v>33</v>
      </c>
      <c r="R4" s="1">
        <v>220</v>
      </c>
      <c r="S4" s="1">
        <v>230</v>
      </c>
      <c r="T4" s="1" t="s">
        <v>1304</v>
      </c>
      <c r="U4" s="1" t="s">
        <v>1288</v>
      </c>
      <c r="V4" s="1" t="s">
        <v>1305</v>
      </c>
      <c r="AA4" s="1" t="s">
        <v>354</v>
      </c>
      <c r="AB4" s="4">
        <v>40487</v>
      </c>
      <c r="AC4" s="1" t="s">
        <v>1291</v>
      </c>
      <c r="AD4" s="1" t="s">
        <v>85</v>
      </c>
      <c r="AE4" s="14">
        <v>46461</v>
      </c>
      <c r="AF4" s="1" t="s">
        <v>1300</v>
      </c>
      <c r="AG4" s="1" t="s">
        <v>1306</v>
      </c>
      <c r="AH4" s="1" t="s">
        <v>862</v>
      </c>
      <c r="AI4" s="4">
        <v>44838</v>
      </c>
      <c r="AJ4" s="12" t="s">
        <v>1303</v>
      </c>
      <c r="AM4" s="66" t="str">
        <f t="shared" si="0"/>
        <v>https://ensinoiptbr-my.sharepoint.com/personal/ericaugustin_ipt_br/Documents/Documentos/Prototipos/2023/Projeto Controle Ativos/SistemaAtivos2/:f:/s/ControledeAtivos/ErYBZduqpupMoXqgJp4U-XQBe2QBNricUSW-WaIwI7rLjQ?e=cwapJ6</v>
      </c>
    </row>
    <row r="5" spans="1:39" ht="81" x14ac:dyDescent="0.35">
      <c r="A5" s="1" t="s">
        <v>26</v>
      </c>
      <c r="B5" s="1">
        <v>2</v>
      </c>
      <c r="C5" s="1" t="s">
        <v>1281</v>
      </c>
      <c r="D5" s="1" t="s">
        <v>739</v>
      </c>
      <c r="F5" s="1" t="s">
        <v>1307</v>
      </c>
      <c r="H5" s="1" t="s">
        <v>1295</v>
      </c>
      <c r="I5" s="1" t="s">
        <v>1308</v>
      </c>
      <c r="J5" s="1" t="s">
        <v>1309</v>
      </c>
      <c r="K5" s="1" t="s">
        <v>1285</v>
      </c>
      <c r="L5" s="68">
        <v>90903.96</v>
      </c>
      <c r="O5" s="1" t="s">
        <v>1286</v>
      </c>
      <c r="P5" s="1">
        <v>3.5</v>
      </c>
      <c r="Q5" s="1" t="s">
        <v>33</v>
      </c>
      <c r="R5" s="1">
        <v>120</v>
      </c>
      <c r="S5" s="1">
        <v>240</v>
      </c>
      <c r="T5" s="1" t="s">
        <v>1310</v>
      </c>
      <c r="U5" s="1" t="s">
        <v>1288</v>
      </c>
      <c r="V5" s="1" t="s">
        <v>1311</v>
      </c>
      <c r="AA5" s="1" t="s">
        <v>1312</v>
      </c>
      <c r="AB5" s="4">
        <v>39703</v>
      </c>
      <c r="AD5" s="1" t="s">
        <v>85</v>
      </c>
      <c r="AE5" s="14">
        <v>84216</v>
      </c>
      <c r="AF5" s="1" t="s">
        <v>1300</v>
      </c>
      <c r="AG5" s="1" t="s">
        <v>1313</v>
      </c>
      <c r="AH5" s="1" t="s">
        <v>862</v>
      </c>
      <c r="AI5" s="4">
        <v>44838</v>
      </c>
      <c r="AJ5" s="12" t="s">
        <v>1308</v>
      </c>
      <c r="AM5" s="66" t="str">
        <f t="shared" si="0"/>
        <v>https://ensinoiptbr-my.sharepoint.com/personal/ericaugustin_ipt_br/Documents/Documentos/Prototipos/2023/Projeto Controle Ativos/SistemaAtivos2/:f:/s/ControledeAtivos/EoDmY9Dcv75Oh-a42uVnt7UBvUwENanSDbQi6KTd-eSO6A?e=YpTUPC</v>
      </c>
    </row>
    <row r="6" spans="1:39" ht="48.6" x14ac:dyDescent="0.35">
      <c r="A6" s="10" t="s">
        <v>26</v>
      </c>
      <c r="B6" s="10">
        <v>2</v>
      </c>
      <c r="C6" s="10" t="s">
        <v>2581</v>
      </c>
      <c r="D6" s="1" t="s">
        <v>739</v>
      </c>
      <c r="E6" s="10"/>
      <c r="F6" s="10" t="s">
        <v>1314</v>
      </c>
      <c r="G6" s="10" t="s">
        <v>1315</v>
      </c>
      <c r="H6" s="10" t="s">
        <v>1316</v>
      </c>
      <c r="I6" s="10" t="s">
        <v>1317</v>
      </c>
      <c r="J6" s="10" t="s">
        <v>1318</v>
      </c>
      <c r="K6" s="10" t="s">
        <v>1319</v>
      </c>
      <c r="L6" s="70">
        <v>14507.75</v>
      </c>
      <c r="M6" s="10"/>
      <c r="N6" s="10"/>
      <c r="O6" s="1" t="s">
        <v>1320</v>
      </c>
      <c r="P6" s="10"/>
      <c r="Q6" s="10"/>
      <c r="R6" s="10">
        <v>220</v>
      </c>
      <c r="S6" s="10"/>
      <c r="T6" s="10"/>
      <c r="U6" s="10" t="s">
        <v>176</v>
      </c>
      <c r="V6" s="1" t="s">
        <v>1321</v>
      </c>
      <c r="AA6" s="1" t="s">
        <v>860</v>
      </c>
      <c r="AB6" s="4">
        <v>32143</v>
      </c>
      <c r="AC6" s="2"/>
      <c r="AD6" s="2"/>
      <c r="AE6" s="14">
        <v>29603</v>
      </c>
      <c r="AF6" s="1" t="s">
        <v>1322</v>
      </c>
      <c r="AG6" s="10"/>
      <c r="AH6" s="43" t="s">
        <v>862</v>
      </c>
      <c r="AI6" s="4">
        <v>44874</v>
      </c>
      <c r="AJ6" s="63" t="s">
        <v>1317</v>
      </c>
      <c r="AM6" s="66" t="str">
        <f t="shared" si="0"/>
        <v>http://ensinoiptbr.sharepoint.com/sites/controledeativos/documentos partilhados/predio02/lab_metalografico/cut off cor 100.jpg?web=1</v>
      </c>
    </row>
    <row r="7" spans="1:39" ht="48.6" x14ac:dyDescent="0.35">
      <c r="A7" s="46" t="s">
        <v>26</v>
      </c>
      <c r="B7" s="46">
        <v>2</v>
      </c>
      <c r="C7" s="46" t="s">
        <v>2581</v>
      </c>
      <c r="D7" s="1" t="s">
        <v>739</v>
      </c>
      <c r="E7" s="46"/>
      <c r="F7" s="46" t="s">
        <v>1314</v>
      </c>
      <c r="G7" s="46" t="s">
        <v>1323</v>
      </c>
      <c r="H7" s="46" t="s">
        <v>1316</v>
      </c>
      <c r="I7" s="46" t="s">
        <v>1324</v>
      </c>
      <c r="J7" s="43" t="s">
        <v>1325</v>
      </c>
      <c r="K7" s="43"/>
      <c r="L7" s="71"/>
      <c r="M7" s="43"/>
      <c r="N7" s="43"/>
      <c r="O7" s="43" t="s">
        <v>1320</v>
      </c>
      <c r="P7" s="43"/>
      <c r="Q7" s="43"/>
      <c r="R7" s="43">
        <v>220</v>
      </c>
      <c r="S7" s="43"/>
      <c r="T7" s="43"/>
      <c r="U7" s="43" t="s">
        <v>176</v>
      </c>
      <c r="V7" s="43" t="s">
        <v>1323</v>
      </c>
      <c r="W7" s="43"/>
      <c r="X7" s="43"/>
      <c r="Y7" s="43"/>
      <c r="Z7" s="43"/>
      <c r="AA7" s="43"/>
      <c r="AB7" s="78">
        <v>42005</v>
      </c>
      <c r="AC7" s="43" t="s">
        <v>1326</v>
      </c>
      <c r="AD7" s="43"/>
      <c r="AE7" s="44">
        <v>5373</v>
      </c>
      <c r="AF7" s="43" t="s">
        <v>1322</v>
      </c>
      <c r="AG7" s="43"/>
      <c r="AH7" s="43" t="s">
        <v>862</v>
      </c>
      <c r="AI7" s="4">
        <v>44834</v>
      </c>
      <c r="AJ7" s="63" t="s">
        <v>1324</v>
      </c>
      <c r="AK7" s="43"/>
      <c r="AM7" s="66" t="str">
        <f t="shared" si="0"/>
        <v>http://ensinoiptbr.sharepoint.com/sites/controledeativos/documentos partilhados/predio02/lab_metalografico/cut off delta.jpg?web=1</v>
      </c>
    </row>
    <row r="8" spans="1:39" ht="81" x14ac:dyDescent="0.35">
      <c r="A8" s="1" t="s">
        <v>26</v>
      </c>
      <c r="B8" s="1">
        <v>2</v>
      </c>
      <c r="C8" s="1" t="s">
        <v>1281</v>
      </c>
      <c r="D8" s="1" t="s">
        <v>739</v>
      </c>
      <c r="F8" s="1" t="s">
        <v>1327</v>
      </c>
      <c r="H8" s="1" t="s">
        <v>1161</v>
      </c>
      <c r="I8" s="1" t="s">
        <v>1328</v>
      </c>
      <c r="J8" s="1" t="s">
        <v>1329</v>
      </c>
      <c r="K8" s="1" t="s">
        <v>1285</v>
      </c>
      <c r="O8" s="1" t="s">
        <v>1286</v>
      </c>
      <c r="P8" s="1">
        <v>200</v>
      </c>
      <c r="Q8" s="1" t="s">
        <v>97</v>
      </c>
      <c r="R8" s="1">
        <v>200</v>
      </c>
      <c r="S8" s="1">
        <v>240</v>
      </c>
      <c r="T8" s="1" t="s">
        <v>1330</v>
      </c>
      <c r="U8" s="1" t="s">
        <v>1331</v>
      </c>
      <c r="V8" s="1" t="s">
        <v>1332</v>
      </c>
      <c r="AA8" s="1" t="s">
        <v>100</v>
      </c>
      <c r="AB8" s="4">
        <v>2020</v>
      </c>
      <c r="AC8" s="1" t="s">
        <v>1333</v>
      </c>
      <c r="AD8" s="1" t="s">
        <v>85</v>
      </c>
      <c r="AE8" s="14">
        <v>23946</v>
      </c>
      <c r="AF8" s="1" t="s">
        <v>1334</v>
      </c>
      <c r="AG8" s="1" t="s">
        <v>1335</v>
      </c>
      <c r="AH8" s="1" t="s">
        <v>862</v>
      </c>
      <c r="AI8" s="4">
        <v>44838</v>
      </c>
      <c r="AJ8" s="12" t="s">
        <v>1328</v>
      </c>
      <c r="AM8" s="66" t="str">
        <f t="shared" si="0"/>
        <v>https://ensinoiptbr-my.sharepoint.com/personal/ericaugustin_ipt_br/Documents/Documentos/Prototipos/2023/Projeto Controle Ativos/SistemaAtivos2/:f:/s/ControledeAtivos/EoPG6t7GDj1Che5pXp4E0qkBrkHpUZLGDswLqgQhFIUJuA?e=0PNaMQ</v>
      </c>
    </row>
    <row r="9" spans="1:39" ht="81" x14ac:dyDescent="0.35">
      <c r="A9" s="1" t="s">
        <v>26</v>
      </c>
      <c r="B9" s="1">
        <v>2</v>
      </c>
      <c r="C9" s="1" t="s">
        <v>1281</v>
      </c>
      <c r="D9" s="1" t="s">
        <v>739</v>
      </c>
      <c r="F9" s="1" t="s">
        <v>1336</v>
      </c>
      <c r="H9" s="1" t="s">
        <v>1161</v>
      </c>
      <c r="I9" s="1" t="s">
        <v>1337</v>
      </c>
      <c r="J9" s="1" t="s">
        <v>1338</v>
      </c>
      <c r="K9" s="1" t="s">
        <v>1285</v>
      </c>
      <c r="M9" s="1" t="s">
        <v>1339</v>
      </c>
      <c r="O9" s="1" t="s">
        <v>1286</v>
      </c>
      <c r="P9" s="1">
        <v>4.5</v>
      </c>
      <c r="Q9" s="1" t="s">
        <v>33</v>
      </c>
      <c r="R9" s="1">
        <v>220</v>
      </c>
      <c r="S9" s="1">
        <v>220</v>
      </c>
      <c r="T9" s="1" t="s">
        <v>1287</v>
      </c>
      <c r="U9" s="1" t="s">
        <v>1331</v>
      </c>
      <c r="V9" s="1" t="s">
        <v>1340</v>
      </c>
      <c r="AA9" s="1" t="s">
        <v>100</v>
      </c>
      <c r="AB9" s="4">
        <v>2021</v>
      </c>
      <c r="AC9" s="1" t="s">
        <v>1341</v>
      </c>
      <c r="AD9" s="1" t="s">
        <v>85</v>
      </c>
      <c r="AE9" s="14" t="s">
        <v>1342</v>
      </c>
      <c r="AF9" s="1" t="s">
        <v>1343</v>
      </c>
      <c r="AG9" s="1" t="s">
        <v>1335</v>
      </c>
      <c r="AH9" s="1" t="s">
        <v>862</v>
      </c>
      <c r="AI9" s="4">
        <v>44838</v>
      </c>
      <c r="AJ9" s="12" t="s">
        <v>1337</v>
      </c>
      <c r="AM9" s="66" t="str">
        <f t="shared" si="0"/>
        <v>https://ensinoiptbr-my.sharepoint.com/personal/ericaugustin_ipt_br/Documents/Documentos/Prototipos/2023/Projeto Controle Ativos/SistemaAtivos2/:f:/s/ControledeAtivos/EgCb3IH_-8VAi86N5EsuWjYB1VlGBHauj7BAwus-40z3mg?e=wASirq</v>
      </c>
    </row>
    <row r="10" spans="1:39" ht="81" x14ac:dyDescent="0.35">
      <c r="A10" s="1" t="s">
        <v>26</v>
      </c>
      <c r="B10" s="1">
        <v>2</v>
      </c>
      <c r="C10" s="1" t="s">
        <v>1281</v>
      </c>
      <c r="D10" s="1" t="s">
        <v>739</v>
      </c>
      <c r="F10" s="1" t="s">
        <v>1344</v>
      </c>
      <c r="H10" s="1" t="s">
        <v>1161</v>
      </c>
      <c r="I10" s="1" t="s">
        <v>1345</v>
      </c>
      <c r="J10" s="1" t="s">
        <v>1346</v>
      </c>
      <c r="K10" s="1" t="s">
        <v>1285</v>
      </c>
      <c r="L10" s="72">
        <v>495799.48</v>
      </c>
      <c r="O10" s="1" t="s">
        <v>1286</v>
      </c>
      <c r="P10" s="1">
        <v>15</v>
      </c>
      <c r="Q10" s="1" t="s">
        <v>33</v>
      </c>
      <c r="R10" s="1">
        <v>220</v>
      </c>
      <c r="S10" s="1">
        <v>230</v>
      </c>
      <c r="T10" s="1" t="s">
        <v>1287</v>
      </c>
      <c r="U10" s="1" t="s">
        <v>1288</v>
      </c>
      <c r="V10" s="1" t="s">
        <v>1347</v>
      </c>
      <c r="AA10" s="1" t="s">
        <v>1312</v>
      </c>
      <c r="AB10" s="4">
        <v>42423</v>
      </c>
      <c r="AC10" s="1" t="s">
        <v>1348</v>
      </c>
      <c r="AD10" s="1" t="s">
        <v>85</v>
      </c>
      <c r="AE10" s="14">
        <v>21112</v>
      </c>
      <c r="AF10" s="1" t="s">
        <v>1349</v>
      </c>
      <c r="AG10" s="1" t="s">
        <v>1335</v>
      </c>
      <c r="AH10" s="1" t="s">
        <v>862</v>
      </c>
      <c r="AI10" s="4">
        <v>44838</v>
      </c>
      <c r="AJ10" s="12" t="s">
        <v>1345</v>
      </c>
      <c r="AM10" s="66" t="str">
        <f t="shared" si="0"/>
        <v>https://ensinoiptbr-my.sharepoint.com/personal/ericaugustin_ipt_br/Documents/Documentos/Prototipos/2023/Projeto Controle Ativos/SistemaAtivos2/:f:/s/ControledeAtivos/ErG3_S4F15hFmafWZaRjgKQB1x_K3ptdNhKla12QvdY8iw?e=CkqVAs</v>
      </c>
    </row>
    <row r="11" spans="1:39" ht="28.8" x14ac:dyDescent="0.35">
      <c r="A11" s="1" t="s">
        <v>26</v>
      </c>
      <c r="B11" s="1">
        <v>2</v>
      </c>
      <c r="C11" s="1" t="s">
        <v>1281</v>
      </c>
      <c r="D11" s="1" t="s">
        <v>739</v>
      </c>
      <c r="F11" s="1" t="s">
        <v>252</v>
      </c>
      <c r="H11" s="1" t="s">
        <v>253</v>
      </c>
      <c r="I11" s="1" t="s">
        <v>1350</v>
      </c>
      <c r="J11" s="1" t="s">
        <v>1351</v>
      </c>
      <c r="K11" s="1" t="s">
        <v>1285</v>
      </c>
      <c r="L11" s="68">
        <v>1340</v>
      </c>
      <c r="O11" s="1" t="s">
        <v>1286</v>
      </c>
      <c r="R11" s="1">
        <v>120</v>
      </c>
      <c r="S11" s="1">
        <v>120</v>
      </c>
      <c r="T11" s="1" t="s">
        <v>1352</v>
      </c>
      <c r="U11" s="1" t="s">
        <v>1288</v>
      </c>
      <c r="V11" s="1" t="s">
        <v>1353</v>
      </c>
      <c r="AA11" s="1" t="s">
        <v>1354</v>
      </c>
      <c r="AB11" s="4">
        <v>40338</v>
      </c>
      <c r="AE11" s="14">
        <v>4023</v>
      </c>
      <c r="AF11" s="1" t="s">
        <v>1355</v>
      </c>
      <c r="AH11" s="1" t="s">
        <v>862</v>
      </c>
      <c r="AI11" s="4">
        <v>44838</v>
      </c>
      <c r="AM11" s="66" t="str">
        <f t="shared" si="0"/>
        <v/>
      </c>
    </row>
    <row r="12" spans="1:39" ht="28.8" x14ac:dyDescent="0.35">
      <c r="A12" s="1" t="s">
        <v>26</v>
      </c>
      <c r="B12" s="1">
        <v>2</v>
      </c>
      <c r="C12" s="1" t="s">
        <v>1281</v>
      </c>
      <c r="D12" s="1" t="s">
        <v>739</v>
      </c>
      <c r="F12" s="1" t="s">
        <v>1356</v>
      </c>
      <c r="H12" s="1" t="s">
        <v>327</v>
      </c>
      <c r="I12" s="1" t="s">
        <v>1357</v>
      </c>
      <c r="J12" s="1" t="s">
        <v>1358</v>
      </c>
      <c r="K12" s="1" t="s">
        <v>1285</v>
      </c>
      <c r="L12" s="68">
        <v>19283.900000000001</v>
      </c>
      <c r="O12" s="1" t="s">
        <v>1286</v>
      </c>
      <c r="R12" s="1">
        <v>120</v>
      </c>
      <c r="S12" s="1">
        <v>120</v>
      </c>
      <c r="T12" s="1" t="s">
        <v>1331</v>
      </c>
      <c r="U12" s="1" t="s">
        <v>1331</v>
      </c>
      <c r="V12" s="1" t="s">
        <v>1359</v>
      </c>
      <c r="AA12" s="1" t="s">
        <v>1312</v>
      </c>
      <c r="AB12" s="4">
        <v>40414</v>
      </c>
      <c r="AC12" s="1" t="s">
        <v>1360</v>
      </c>
      <c r="AE12" s="14">
        <v>15860</v>
      </c>
      <c r="AF12" s="1" t="s">
        <v>1361</v>
      </c>
      <c r="AH12" s="1" t="s">
        <v>862</v>
      </c>
      <c r="AI12" s="4">
        <v>44837</v>
      </c>
      <c r="AM12" s="66" t="str">
        <f t="shared" si="0"/>
        <v/>
      </c>
    </row>
    <row r="13" spans="1:39" ht="28.8" x14ac:dyDescent="0.35">
      <c r="A13" s="1" t="s">
        <v>26</v>
      </c>
      <c r="B13" s="1">
        <v>2</v>
      </c>
      <c r="C13" s="1" t="s">
        <v>1281</v>
      </c>
      <c r="D13" s="1" t="s">
        <v>739</v>
      </c>
      <c r="F13" s="1" t="s">
        <v>1362</v>
      </c>
      <c r="H13" s="1" t="s">
        <v>385</v>
      </c>
      <c r="I13" s="1" t="s">
        <v>1363</v>
      </c>
      <c r="J13" s="1" t="s">
        <v>1364</v>
      </c>
      <c r="K13" s="1" t="s">
        <v>1285</v>
      </c>
      <c r="L13" s="68">
        <v>27205.89</v>
      </c>
      <c r="O13" s="1" t="s">
        <v>1286</v>
      </c>
      <c r="R13" s="1">
        <v>220</v>
      </c>
      <c r="S13" s="1">
        <v>220</v>
      </c>
      <c r="T13" s="1" t="s">
        <v>1352</v>
      </c>
      <c r="U13" s="1" t="s">
        <v>1288</v>
      </c>
      <c r="V13" s="1" t="s">
        <v>1365</v>
      </c>
      <c r="AA13" s="1" t="s">
        <v>1312</v>
      </c>
      <c r="AB13" s="4">
        <v>34577</v>
      </c>
      <c r="AE13" s="14">
        <v>21539</v>
      </c>
      <c r="AF13" s="1" t="s">
        <v>1366</v>
      </c>
      <c r="AH13" s="1" t="s">
        <v>862</v>
      </c>
      <c r="AI13" s="4">
        <v>44837</v>
      </c>
      <c r="AM13" s="66" t="str">
        <f t="shared" si="0"/>
        <v/>
      </c>
    </row>
    <row r="14" spans="1:39" ht="28.8" x14ac:dyDescent="0.35">
      <c r="A14" s="1" t="s">
        <v>26</v>
      </c>
      <c r="B14" s="1">
        <v>2</v>
      </c>
      <c r="C14" s="1" t="s">
        <v>1281</v>
      </c>
      <c r="D14" s="1" t="s">
        <v>739</v>
      </c>
      <c r="F14" s="1" t="s">
        <v>253</v>
      </c>
      <c r="H14" s="1" t="s">
        <v>253</v>
      </c>
      <c r="I14" s="1" t="s">
        <v>1367</v>
      </c>
      <c r="J14" s="1" t="s">
        <v>1351</v>
      </c>
      <c r="K14" s="1" t="s">
        <v>1285</v>
      </c>
      <c r="O14" s="1" t="s">
        <v>1286</v>
      </c>
      <c r="R14" s="1">
        <v>120</v>
      </c>
      <c r="S14" s="1">
        <v>120</v>
      </c>
      <c r="T14" s="1" t="s">
        <v>1352</v>
      </c>
      <c r="U14" s="1" t="s">
        <v>1331</v>
      </c>
      <c r="V14" s="1" t="s">
        <v>1368</v>
      </c>
      <c r="AA14" s="1" t="s">
        <v>1354</v>
      </c>
      <c r="AB14" s="4">
        <v>40544</v>
      </c>
      <c r="AC14" s="1" t="s">
        <v>1369</v>
      </c>
      <c r="AD14" s="1" t="s">
        <v>85</v>
      </c>
      <c r="AE14" s="14">
        <v>4023</v>
      </c>
      <c r="AF14" s="1" t="s">
        <v>1355</v>
      </c>
      <c r="AH14" s="1" t="s">
        <v>862</v>
      </c>
      <c r="AI14" s="4">
        <v>44837</v>
      </c>
      <c r="AM14" s="66" t="str">
        <f t="shared" si="0"/>
        <v/>
      </c>
    </row>
    <row r="15" spans="1:39" ht="28.8" x14ac:dyDescent="0.35">
      <c r="A15" s="1" t="s">
        <v>26</v>
      </c>
      <c r="B15" s="1">
        <v>2</v>
      </c>
      <c r="C15" s="1" t="s">
        <v>1281</v>
      </c>
      <c r="D15" s="1" t="s">
        <v>739</v>
      </c>
      <c r="F15" s="1" t="s">
        <v>1370</v>
      </c>
      <c r="H15" s="1" t="s">
        <v>1371</v>
      </c>
      <c r="I15" s="1" t="s">
        <v>1372</v>
      </c>
      <c r="J15" s="1" t="s">
        <v>126</v>
      </c>
      <c r="K15" s="1" t="s">
        <v>1285</v>
      </c>
      <c r="L15" s="68">
        <v>999.6</v>
      </c>
      <c r="O15" s="1" t="s">
        <v>1286</v>
      </c>
      <c r="P15" s="1">
        <v>2000</v>
      </c>
      <c r="Q15" s="1" t="s">
        <v>97</v>
      </c>
      <c r="R15" s="1">
        <v>120</v>
      </c>
      <c r="S15" s="1">
        <v>220</v>
      </c>
      <c r="T15" s="1" t="s">
        <v>1373</v>
      </c>
      <c r="U15" s="1" t="s">
        <v>1288</v>
      </c>
      <c r="V15" s="1" t="s">
        <v>1374</v>
      </c>
      <c r="AA15" s="1" t="s">
        <v>119</v>
      </c>
      <c r="AB15" s="4">
        <v>40544</v>
      </c>
      <c r="AC15" s="1" t="s">
        <v>1291</v>
      </c>
      <c r="AE15" s="14">
        <v>48013</v>
      </c>
      <c r="AF15" s="1" t="s">
        <v>1375</v>
      </c>
      <c r="AH15" s="1" t="s">
        <v>862</v>
      </c>
      <c r="AI15" s="4">
        <v>44837</v>
      </c>
      <c r="AM15" s="66" t="str">
        <f t="shared" si="0"/>
        <v/>
      </c>
    </row>
    <row r="16" spans="1:39" ht="28.8" x14ac:dyDescent="0.35">
      <c r="A16" s="1" t="s">
        <v>26</v>
      </c>
      <c r="B16" s="1">
        <v>2</v>
      </c>
      <c r="C16" s="1" t="s">
        <v>1281</v>
      </c>
      <c r="D16" s="1" t="s">
        <v>739</v>
      </c>
      <c r="F16" s="1" t="s">
        <v>1370</v>
      </c>
      <c r="H16" s="1" t="s">
        <v>1371</v>
      </c>
      <c r="I16" s="1" t="s">
        <v>1376</v>
      </c>
      <c r="J16" s="1" t="s">
        <v>126</v>
      </c>
      <c r="K16" s="1" t="s">
        <v>1285</v>
      </c>
      <c r="L16" s="68">
        <v>999.6</v>
      </c>
      <c r="O16" s="1" t="s">
        <v>1286</v>
      </c>
      <c r="P16" s="1">
        <v>2000</v>
      </c>
      <c r="Q16" s="1" t="s">
        <v>97</v>
      </c>
      <c r="R16" s="1">
        <v>120</v>
      </c>
      <c r="S16" s="1">
        <v>220</v>
      </c>
      <c r="T16" s="1" t="s">
        <v>1373</v>
      </c>
      <c r="U16" s="1" t="s">
        <v>1288</v>
      </c>
      <c r="V16" s="1" t="s">
        <v>1374</v>
      </c>
      <c r="AA16" s="1" t="s">
        <v>119</v>
      </c>
      <c r="AB16" s="4">
        <v>40544</v>
      </c>
      <c r="AC16" s="1" t="s">
        <v>1291</v>
      </c>
      <c r="AE16" s="14">
        <v>18653</v>
      </c>
      <c r="AF16" s="1" t="s">
        <v>1375</v>
      </c>
      <c r="AH16" s="1" t="s">
        <v>862</v>
      </c>
      <c r="AI16" s="4">
        <v>44837</v>
      </c>
      <c r="AM16" s="66" t="str">
        <f t="shared" si="0"/>
        <v/>
      </c>
    </row>
    <row r="17" spans="1:39" ht="28.8" x14ac:dyDescent="0.35">
      <c r="A17" s="1" t="s">
        <v>26</v>
      </c>
      <c r="B17" s="1">
        <v>2</v>
      </c>
      <c r="C17" s="1" t="s">
        <v>1281</v>
      </c>
      <c r="D17" s="1" t="s">
        <v>739</v>
      </c>
      <c r="F17" s="1" t="s">
        <v>1370</v>
      </c>
      <c r="H17" s="1" t="s">
        <v>1371</v>
      </c>
      <c r="I17" s="1" t="s">
        <v>1377</v>
      </c>
      <c r="J17" s="1" t="s">
        <v>126</v>
      </c>
      <c r="K17" s="1" t="s">
        <v>1285</v>
      </c>
      <c r="L17" s="68">
        <v>999.6</v>
      </c>
      <c r="O17" s="1" t="s">
        <v>1286</v>
      </c>
      <c r="P17" s="1">
        <v>2000</v>
      </c>
      <c r="Q17" s="1" t="s">
        <v>97</v>
      </c>
      <c r="R17" s="1">
        <v>120</v>
      </c>
      <c r="S17" s="1">
        <v>220</v>
      </c>
      <c r="T17" s="1" t="s">
        <v>1373</v>
      </c>
      <c r="U17" s="1" t="s">
        <v>1288</v>
      </c>
      <c r="V17" s="1" t="s">
        <v>1374</v>
      </c>
      <c r="AA17" s="1" t="s">
        <v>119</v>
      </c>
      <c r="AB17" s="4">
        <v>40544</v>
      </c>
      <c r="AC17" s="1" t="s">
        <v>1291</v>
      </c>
      <c r="AE17" s="14">
        <v>4043</v>
      </c>
      <c r="AF17" s="1" t="s">
        <v>1375</v>
      </c>
      <c r="AH17" s="1" t="s">
        <v>862</v>
      </c>
      <c r="AI17" s="4">
        <v>44837</v>
      </c>
      <c r="AM17" s="66" t="str">
        <f t="shared" si="0"/>
        <v/>
      </c>
    </row>
    <row r="18" spans="1:39" ht="28.8" x14ac:dyDescent="0.35">
      <c r="A18" s="1" t="s">
        <v>26</v>
      </c>
      <c r="B18" s="1">
        <v>2</v>
      </c>
      <c r="C18" s="1" t="s">
        <v>1281</v>
      </c>
      <c r="D18" s="1" t="s">
        <v>739</v>
      </c>
      <c r="F18" s="1" t="s">
        <v>1370</v>
      </c>
      <c r="H18" s="1" t="s">
        <v>1371</v>
      </c>
      <c r="I18" s="1" t="s">
        <v>1378</v>
      </c>
      <c r="J18" s="1" t="s">
        <v>126</v>
      </c>
      <c r="K18" s="1" t="s">
        <v>1285</v>
      </c>
      <c r="L18" s="68">
        <v>999</v>
      </c>
      <c r="O18" s="1" t="s">
        <v>1286</v>
      </c>
      <c r="P18" s="1">
        <v>2000</v>
      </c>
      <c r="Q18" s="1" t="s">
        <v>97</v>
      </c>
      <c r="R18" s="1">
        <v>120</v>
      </c>
      <c r="S18" s="1">
        <v>220</v>
      </c>
      <c r="T18" s="1" t="s">
        <v>1373</v>
      </c>
      <c r="U18" s="1" t="s">
        <v>1288</v>
      </c>
      <c r="V18" s="1" t="s">
        <v>1374</v>
      </c>
      <c r="AA18" s="1" t="s">
        <v>119</v>
      </c>
      <c r="AB18" s="4">
        <v>40544</v>
      </c>
      <c r="AC18" s="1" t="s">
        <v>1291</v>
      </c>
      <c r="AE18" s="14">
        <v>17649</v>
      </c>
      <c r="AF18" s="1" t="s">
        <v>1375</v>
      </c>
      <c r="AH18" s="1" t="s">
        <v>862</v>
      </c>
      <c r="AI18" s="4">
        <v>44837</v>
      </c>
      <c r="AM18" s="66" t="str">
        <f t="shared" si="0"/>
        <v/>
      </c>
    </row>
    <row r="19" spans="1:39" ht="28.8" x14ac:dyDescent="0.35">
      <c r="A19" s="1" t="s">
        <v>26</v>
      </c>
      <c r="B19" s="1">
        <v>2</v>
      </c>
      <c r="C19" s="1" t="s">
        <v>1281</v>
      </c>
      <c r="D19" s="1" t="s">
        <v>739</v>
      </c>
      <c r="F19" s="1" t="s">
        <v>1370</v>
      </c>
      <c r="H19" s="1" t="s">
        <v>1371</v>
      </c>
      <c r="I19" s="1" t="s">
        <v>1379</v>
      </c>
      <c r="J19" s="1" t="s">
        <v>126</v>
      </c>
      <c r="K19" s="1" t="s">
        <v>1285</v>
      </c>
      <c r="L19" s="68">
        <v>999</v>
      </c>
      <c r="O19" s="1" t="s">
        <v>1286</v>
      </c>
      <c r="P19" s="1">
        <v>2000</v>
      </c>
      <c r="Q19" s="1" t="s">
        <v>97</v>
      </c>
      <c r="R19" s="1">
        <v>120</v>
      </c>
      <c r="S19" s="1">
        <v>220</v>
      </c>
      <c r="T19" s="1" t="s">
        <v>1373</v>
      </c>
      <c r="U19" s="1" t="s">
        <v>1288</v>
      </c>
      <c r="V19" s="1" t="s">
        <v>1374</v>
      </c>
      <c r="AA19" s="1" t="s">
        <v>119</v>
      </c>
      <c r="AB19" s="4">
        <v>40544</v>
      </c>
      <c r="AC19" s="1" t="s">
        <v>1291</v>
      </c>
      <c r="AE19" s="14">
        <v>8654</v>
      </c>
      <c r="AF19" s="1" t="s">
        <v>1375</v>
      </c>
      <c r="AH19" s="1" t="s">
        <v>862</v>
      </c>
      <c r="AI19" s="4">
        <v>44837</v>
      </c>
      <c r="AM19" s="66" t="str">
        <f t="shared" si="0"/>
        <v/>
      </c>
    </row>
    <row r="20" spans="1:39" ht="28.8" x14ac:dyDescent="0.35">
      <c r="A20" s="1" t="s">
        <v>26</v>
      </c>
      <c r="B20" s="1">
        <v>2</v>
      </c>
      <c r="C20" s="1" t="s">
        <v>1281</v>
      </c>
      <c r="D20" s="1" t="s">
        <v>739</v>
      </c>
      <c r="F20" s="1" t="s">
        <v>1370</v>
      </c>
      <c r="H20" s="1" t="s">
        <v>1371</v>
      </c>
      <c r="I20" s="1" t="s">
        <v>1380</v>
      </c>
      <c r="J20" s="1" t="s">
        <v>126</v>
      </c>
      <c r="K20" s="1" t="s">
        <v>1285</v>
      </c>
      <c r="L20" s="68">
        <v>607.70000000000005</v>
      </c>
      <c r="O20" s="1" t="s">
        <v>1286</v>
      </c>
      <c r="P20" s="1">
        <v>2000</v>
      </c>
      <c r="Q20" s="1" t="s">
        <v>97</v>
      </c>
      <c r="R20" s="1">
        <v>120</v>
      </c>
      <c r="S20" s="1">
        <v>220</v>
      </c>
      <c r="T20" s="1" t="s">
        <v>1373</v>
      </c>
      <c r="U20" s="1" t="s">
        <v>1288</v>
      </c>
      <c r="V20" s="1" t="s">
        <v>1374</v>
      </c>
      <c r="AA20" s="1" t="s">
        <v>119</v>
      </c>
      <c r="AB20" s="4">
        <v>39129</v>
      </c>
      <c r="AC20" s="1" t="s">
        <v>1291</v>
      </c>
      <c r="AE20" s="14">
        <v>4042</v>
      </c>
      <c r="AF20" s="1" t="s">
        <v>1375</v>
      </c>
      <c r="AH20" s="1" t="s">
        <v>862</v>
      </c>
      <c r="AI20" s="4">
        <v>44837</v>
      </c>
      <c r="AM20" s="66" t="str">
        <f t="shared" si="0"/>
        <v/>
      </c>
    </row>
    <row r="21" spans="1:39" ht="28.8" x14ac:dyDescent="0.35">
      <c r="A21" s="1" t="s">
        <v>26</v>
      </c>
      <c r="B21" s="1">
        <v>2</v>
      </c>
      <c r="C21" s="1" t="s">
        <v>1281</v>
      </c>
      <c r="D21" s="1" t="s">
        <v>739</v>
      </c>
      <c r="F21" s="1" t="s">
        <v>1381</v>
      </c>
      <c r="H21" s="1" t="s">
        <v>1371</v>
      </c>
      <c r="I21" s="1" t="s">
        <v>1382</v>
      </c>
      <c r="J21" s="1" t="s">
        <v>126</v>
      </c>
      <c r="K21" s="1" t="s">
        <v>1285</v>
      </c>
      <c r="L21" s="68">
        <v>2044.87</v>
      </c>
      <c r="O21" s="1" t="s">
        <v>1286</v>
      </c>
      <c r="P21" s="1">
        <v>2000</v>
      </c>
      <c r="Q21" s="1" t="s">
        <v>97</v>
      </c>
      <c r="R21" s="1">
        <v>120</v>
      </c>
      <c r="S21" s="1">
        <v>220</v>
      </c>
      <c r="T21" s="1" t="s">
        <v>1373</v>
      </c>
      <c r="U21" s="1" t="s">
        <v>1288</v>
      </c>
      <c r="V21" s="1" t="s">
        <v>1374</v>
      </c>
      <c r="AA21" s="1" t="s">
        <v>119</v>
      </c>
      <c r="AB21" s="4">
        <v>41806</v>
      </c>
      <c r="AC21" s="1" t="s">
        <v>1291</v>
      </c>
      <c r="AD21" s="1" t="s">
        <v>754</v>
      </c>
      <c r="AE21" s="14" t="s">
        <v>755</v>
      </c>
      <c r="AF21" s="1" t="s">
        <v>1375</v>
      </c>
      <c r="AH21" s="1" t="s">
        <v>862</v>
      </c>
      <c r="AI21" s="4">
        <v>44837</v>
      </c>
      <c r="AM21" s="66" t="str">
        <f t="shared" si="0"/>
        <v/>
      </c>
    </row>
    <row r="22" spans="1:39" ht="28.8" x14ac:dyDescent="0.35">
      <c r="A22" s="1" t="s">
        <v>26</v>
      </c>
      <c r="B22" s="1">
        <v>2</v>
      </c>
      <c r="C22" s="1" t="s">
        <v>1281</v>
      </c>
      <c r="D22" s="1" t="s">
        <v>739</v>
      </c>
      <c r="F22" s="1" t="s">
        <v>1383</v>
      </c>
      <c r="H22" s="1" t="s">
        <v>464</v>
      </c>
      <c r="I22" s="1" t="s">
        <v>1384</v>
      </c>
      <c r="J22" s="1" t="s">
        <v>1385</v>
      </c>
      <c r="K22" s="1" t="s">
        <v>1285</v>
      </c>
      <c r="L22" s="68">
        <v>100000</v>
      </c>
      <c r="N22" s="1" t="s">
        <v>1386</v>
      </c>
      <c r="O22" s="1" t="s">
        <v>1286</v>
      </c>
      <c r="P22" s="1">
        <v>1200</v>
      </c>
      <c r="Q22" s="1" t="s">
        <v>97</v>
      </c>
      <c r="R22" s="1">
        <v>220</v>
      </c>
      <c r="S22" s="1">
        <v>220</v>
      </c>
      <c r="T22" s="1" t="s">
        <v>1287</v>
      </c>
      <c r="U22" s="1" t="s">
        <v>1288</v>
      </c>
      <c r="V22" s="1" t="s">
        <v>1387</v>
      </c>
      <c r="AA22" s="1" t="s">
        <v>1312</v>
      </c>
      <c r="AB22" s="4">
        <v>42485</v>
      </c>
      <c r="AE22" s="14">
        <v>21128</v>
      </c>
      <c r="AF22" s="1" t="s">
        <v>1388</v>
      </c>
      <c r="AH22" s="1" t="s">
        <v>862</v>
      </c>
      <c r="AI22" s="4">
        <v>44837</v>
      </c>
      <c r="AM22" s="66" t="str">
        <f t="shared" si="0"/>
        <v/>
      </c>
    </row>
    <row r="23" spans="1:39" ht="28.8" x14ac:dyDescent="0.35">
      <c r="A23" s="1" t="s">
        <v>26</v>
      </c>
      <c r="B23" s="1">
        <v>2</v>
      </c>
      <c r="C23" s="1" t="s">
        <v>1281</v>
      </c>
      <c r="D23" s="1" t="s">
        <v>739</v>
      </c>
      <c r="F23" s="1" t="s">
        <v>1370</v>
      </c>
      <c r="H23" s="1" t="s">
        <v>1371</v>
      </c>
      <c r="I23" s="1" t="s">
        <v>1389</v>
      </c>
      <c r="J23" s="1" t="s">
        <v>126</v>
      </c>
      <c r="K23" s="1" t="s">
        <v>1285</v>
      </c>
      <c r="L23" s="68">
        <v>999.6</v>
      </c>
      <c r="O23" s="1" t="s">
        <v>1286</v>
      </c>
      <c r="P23" s="1">
        <v>1100</v>
      </c>
      <c r="Q23" s="1" t="s">
        <v>97</v>
      </c>
      <c r="R23" s="1">
        <v>120</v>
      </c>
      <c r="S23" s="1">
        <v>220</v>
      </c>
      <c r="T23" s="1" t="s">
        <v>1373</v>
      </c>
      <c r="U23" s="1" t="s">
        <v>1288</v>
      </c>
      <c r="V23" s="1" t="s">
        <v>1390</v>
      </c>
      <c r="AA23" s="1" t="s">
        <v>119</v>
      </c>
      <c r="AB23" s="4">
        <v>40544</v>
      </c>
      <c r="AC23" s="1" t="s">
        <v>1291</v>
      </c>
      <c r="AD23" s="1" t="s">
        <v>754</v>
      </c>
      <c r="AE23" s="14" t="s">
        <v>755</v>
      </c>
      <c r="AF23" s="1" t="s">
        <v>1375</v>
      </c>
      <c r="AH23" s="1" t="s">
        <v>862</v>
      </c>
      <c r="AI23" s="4">
        <v>44837</v>
      </c>
      <c r="AM23" s="66" t="str">
        <f t="shared" si="0"/>
        <v/>
      </c>
    </row>
    <row r="24" spans="1:39" ht="28.8" x14ac:dyDescent="0.35">
      <c r="A24" s="1" t="s">
        <v>26</v>
      </c>
      <c r="B24" s="1">
        <v>2</v>
      </c>
      <c r="C24" s="1" t="s">
        <v>1281</v>
      </c>
      <c r="D24" s="1" t="s">
        <v>739</v>
      </c>
      <c r="F24" s="1" t="s">
        <v>1381</v>
      </c>
      <c r="H24" s="1" t="s">
        <v>1371</v>
      </c>
      <c r="I24" s="1" t="s">
        <v>1391</v>
      </c>
      <c r="J24" s="1" t="s">
        <v>126</v>
      </c>
      <c r="K24" s="1" t="s">
        <v>1285</v>
      </c>
      <c r="L24" s="68">
        <v>2044.87</v>
      </c>
      <c r="O24" s="1" t="s">
        <v>1286</v>
      </c>
      <c r="P24" s="1">
        <v>1100</v>
      </c>
      <c r="Q24" s="1" t="s">
        <v>97</v>
      </c>
      <c r="R24" s="1">
        <v>120</v>
      </c>
      <c r="S24" s="1">
        <v>220</v>
      </c>
      <c r="T24" s="1" t="s">
        <v>1373</v>
      </c>
      <c r="U24" s="1" t="s">
        <v>1288</v>
      </c>
      <c r="V24" s="1" t="s">
        <v>1390</v>
      </c>
      <c r="AA24" s="1" t="s">
        <v>119</v>
      </c>
      <c r="AB24" s="4">
        <v>41806</v>
      </c>
      <c r="AC24" s="1" t="s">
        <v>1291</v>
      </c>
      <c r="AD24" s="1" t="s">
        <v>754</v>
      </c>
      <c r="AE24" s="14" t="s">
        <v>755</v>
      </c>
      <c r="AF24" s="1" t="s">
        <v>1375</v>
      </c>
      <c r="AH24" s="1" t="s">
        <v>862</v>
      </c>
      <c r="AI24" s="4">
        <v>44837</v>
      </c>
      <c r="AM24" s="66" t="str">
        <f t="shared" si="0"/>
        <v/>
      </c>
    </row>
    <row r="25" spans="1:39" ht="28.8" x14ac:dyDescent="0.35">
      <c r="A25" s="1" t="s">
        <v>26</v>
      </c>
      <c r="B25" s="1">
        <v>2</v>
      </c>
      <c r="C25" s="1" t="s">
        <v>1281</v>
      </c>
      <c r="D25" s="1" t="s">
        <v>739</v>
      </c>
      <c r="F25" s="1" t="s">
        <v>1381</v>
      </c>
      <c r="H25" s="1" t="s">
        <v>1371</v>
      </c>
      <c r="I25" s="1" t="s">
        <v>1392</v>
      </c>
      <c r="J25" s="1" t="s">
        <v>126</v>
      </c>
      <c r="K25" s="1" t="s">
        <v>1285</v>
      </c>
      <c r="L25" s="68">
        <v>2044.87</v>
      </c>
      <c r="O25" s="1" t="s">
        <v>1286</v>
      </c>
      <c r="P25" s="1">
        <v>1100</v>
      </c>
      <c r="Q25" s="1" t="s">
        <v>97</v>
      </c>
      <c r="R25" s="1">
        <v>120</v>
      </c>
      <c r="S25" s="1">
        <v>220</v>
      </c>
      <c r="T25" s="1" t="s">
        <v>1373</v>
      </c>
      <c r="U25" s="1" t="s">
        <v>1288</v>
      </c>
      <c r="V25" s="1" t="s">
        <v>1390</v>
      </c>
      <c r="AA25" s="1" t="s">
        <v>119</v>
      </c>
      <c r="AB25" s="4">
        <v>41806</v>
      </c>
      <c r="AC25" s="1" t="s">
        <v>1291</v>
      </c>
      <c r="AD25" s="1" t="s">
        <v>754</v>
      </c>
      <c r="AE25" s="14" t="s">
        <v>755</v>
      </c>
      <c r="AF25" s="1" t="s">
        <v>1375</v>
      </c>
      <c r="AH25" s="1" t="s">
        <v>862</v>
      </c>
      <c r="AI25" s="4">
        <v>44837</v>
      </c>
      <c r="AM25" s="66" t="str">
        <f t="shared" si="0"/>
        <v/>
      </c>
    </row>
    <row r="26" spans="1:39" ht="28.8" x14ac:dyDescent="0.35">
      <c r="A26" s="1" t="s">
        <v>26</v>
      </c>
      <c r="B26" s="1">
        <v>2</v>
      </c>
      <c r="C26" s="1" t="s">
        <v>1281</v>
      </c>
      <c r="D26" s="1" t="s">
        <v>739</v>
      </c>
      <c r="F26" s="1" t="s">
        <v>1393</v>
      </c>
      <c r="H26" s="1" t="s">
        <v>1371</v>
      </c>
      <c r="I26" s="1" t="s">
        <v>1394</v>
      </c>
      <c r="J26" s="1" t="s">
        <v>126</v>
      </c>
      <c r="K26" s="1" t="s">
        <v>1285</v>
      </c>
      <c r="L26" s="68">
        <v>800</v>
      </c>
      <c r="O26" s="1" t="s">
        <v>1286</v>
      </c>
      <c r="P26" s="1">
        <v>415</v>
      </c>
      <c r="Q26" s="1" t="s">
        <v>97</v>
      </c>
      <c r="R26" s="1">
        <v>120</v>
      </c>
      <c r="S26" s="1">
        <v>220</v>
      </c>
      <c r="T26" s="1" t="s">
        <v>1287</v>
      </c>
      <c r="U26" s="1" t="s">
        <v>1288</v>
      </c>
      <c r="V26" s="1" t="s">
        <v>1390</v>
      </c>
      <c r="AA26" s="1" t="s">
        <v>119</v>
      </c>
      <c r="AB26" s="61">
        <v>40773</v>
      </c>
      <c r="AC26" s="1" t="s">
        <v>1291</v>
      </c>
      <c r="AE26" s="14">
        <v>4118</v>
      </c>
      <c r="AF26" s="1" t="s">
        <v>1375</v>
      </c>
      <c r="AH26" s="1" t="s">
        <v>862</v>
      </c>
      <c r="AI26" s="4">
        <v>44837</v>
      </c>
      <c r="AM26" s="66" t="str">
        <f t="shared" si="0"/>
        <v/>
      </c>
    </row>
    <row r="27" spans="1:39" ht="28.8" x14ac:dyDescent="0.35">
      <c r="A27" s="1" t="s">
        <v>26</v>
      </c>
      <c r="B27" s="1">
        <v>2</v>
      </c>
      <c r="C27" s="1" t="s">
        <v>1281</v>
      </c>
      <c r="D27" s="1" t="s">
        <v>739</v>
      </c>
      <c r="F27" s="1" t="s">
        <v>1395</v>
      </c>
      <c r="H27" s="1" t="s">
        <v>1396</v>
      </c>
      <c r="I27" s="1" t="s">
        <v>1397</v>
      </c>
      <c r="J27" s="1" t="s">
        <v>1398</v>
      </c>
      <c r="K27" s="1" t="s">
        <v>1285</v>
      </c>
      <c r="O27" s="1" t="s">
        <v>1286</v>
      </c>
      <c r="P27" s="1">
        <v>264</v>
      </c>
      <c r="Q27" s="1" t="s">
        <v>321</v>
      </c>
      <c r="R27" s="1">
        <v>220</v>
      </c>
      <c r="S27" s="1">
        <v>230</v>
      </c>
      <c r="T27" s="1" t="s">
        <v>1304</v>
      </c>
      <c r="U27" s="1" t="s">
        <v>1288</v>
      </c>
      <c r="V27" s="1" t="s">
        <v>1399</v>
      </c>
      <c r="AA27" s="1" t="s">
        <v>354</v>
      </c>
      <c r="AB27" s="4">
        <v>40909</v>
      </c>
      <c r="AC27" s="1" t="s">
        <v>1291</v>
      </c>
      <c r="AE27" s="14">
        <v>13766</v>
      </c>
      <c r="AF27" s="1" t="s">
        <v>1400</v>
      </c>
      <c r="AH27" s="1" t="s">
        <v>862</v>
      </c>
      <c r="AI27" s="4">
        <v>44837</v>
      </c>
      <c r="AM27" s="66" t="str">
        <f t="shared" si="0"/>
        <v/>
      </c>
    </row>
    <row r="28" spans="1:39" ht="28.8" x14ac:dyDescent="0.35">
      <c r="A28" s="1" t="s">
        <v>26</v>
      </c>
      <c r="B28" s="1">
        <v>2</v>
      </c>
      <c r="C28" s="1" t="s">
        <v>1281</v>
      </c>
      <c r="D28" s="1" t="s">
        <v>739</v>
      </c>
      <c r="F28" s="1" t="s">
        <v>1395</v>
      </c>
      <c r="H28" s="1" t="s">
        <v>1396</v>
      </c>
      <c r="I28" s="1" t="s">
        <v>1401</v>
      </c>
      <c r="J28" s="1" t="s">
        <v>1398</v>
      </c>
      <c r="K28" s="1" t="s">
        <v>1285</v>
      </c>
      <c r="O28" s="1" t="s">
        <v>1286</v>
      </c>
      <c r="P28" s="1">
        <v>264</v>
      </c>
      <c r="Q28" s="1" t="s">
        <v>321</v>
      </c>
      <c r="R28" s="1">
        <v>220</v>
      </c>
      <c r="S28" s="1">
        <v>230</v>
      </c>
      <c r="T28" s="1" t="s">
        <v>1304</v>
      </c>
      <c r="U28" s="1" t="s">
        <v>1288</v>
      </c>
      <c r="V28" s="1" t="s">
        <v>1399</v>
      </c>
      <c r="AA28" s="1" t="s">
        <v>354</v>
      </c>
      <c r="AB28" s="4">
        <v>40909</v>
      </c>
      <c r="AC28" s="1" t="s">
        <v>1291</v>
      </c>
      <c r="AE28" s="14">
        <v>5146</v>
      </c>
      <c r="AF28" s="1" t="s">
        <v>1400</v>
      </c>
      <c r="AH28" s="1" t="s">
        <v>862</v>
      </c>
      <c r="AI28" s="4">
        <v>44837</v>
      </c>
      <c r="AM28" s="66" t="str">
        <f t="shared" si="0"/>
        <v/>
      </c>
    </row>
    <row r="29" spans="1:39" ht="28.8" x14ac:dyDescent="0.35">
      <c r="A29" s="1" t="s">
        <v>26</v>
      </c>
      <c r="B29" s="1">
        <v>2</v>
      </c>
      <c r="C29" s="1" t="s">
        <v>1281</v>
      </c>
      <c r="D29" s="1" t="s">
        <v>739</v>
      </c>
      <c r="F29" s="1" t="s">
        <v>1395</v>
      </c>
      <c r="H29" s="1" t="s">
        <v>1396</v>
      </c>
      <c r="I29" s="1" t="s">
        <v>1402</v>
      </c>
      <c r="J29" s="1" t="s">
        <v>1398</v>
      </c>
      <c r="K29" s="1" t="s">
        <v>1285</v>
      </c>
      <c r="O29" s="1" t="s">
        <v>1286</v>
      </c>
      <c r="P29" s="1">
        <v>264</v>
      </c>
      <c r="Q29" s="1" t="s">
        <v>321</v>
      </c>
      <c r="R29" s="1">
        <v>220</v>
      </c>
      <c r="S29" s="1">
        <v>230</v>
      </c>
      <c r="T29" s="1" t="s">
        <v>1304</v>
      </c>
      <c r="U29" s="1" t="s">
        <v>1288</v>
      </c>
      <c r="V29" s="1" t="s">
        <v>1399</v>
      </c>
      <c r="AA29" s="1" t="s">
        <v>354</v>
      </c>
      <c r="AB29" s="4">
        <v>40909</v>
      </c>
      <c r="AC29" s="1" t="s">
        <v>1291</v>
      </c>
      <c r="AE29" s="14">
        <v>18716</v>
      </c>
      <c r="AF29" s="1" t="s">
        <v>1400</v>
      </c>
      <c r="AH29" s="1" t="s">
        <v>862</v>
      </c>
      <c r="AI29" s="4">
        <v>44837</v>
      </c>
      <c r="AM29" s="66" t="str">
        <f t="shared" si="0"/>
        <v/>
      </c>
    </row>
    <row r="30" spans="1:39" ht="28.8" x14ac:dyDescent="0.35">
      <c r="A30" s="1" t="s">
        <v>26</v>
      </c>
      <c r="B30" s="1">
        <v>2</v>
      </c>
      <c r="C30" s="1" t="s">
        <v>1281</v>
      </c>
      <c r="D30" s="1" t="s">
        <v>739</v>
      </c>
      <c r="F30" s="1" t="s">
        <v>1403</v>
      </c>
      <c r="H30" s="1" t="s">
        <v>724</v>
      </c>
      <c r="I30" s="1" t="s">
        <v>1404</v>
      </c>
      <c r="J30" s="1" t="s">
        <v>1405</v>
      </c>
      <c r="K30" s="1" t="s">
        <v>1285</v>
      </c>
      <c r="O30" s="1" t="s">
        <v>1286</v>
      </c>
      <c r="P30" s="1">
        <v>150</v>
      </c>
      <c r="Q30" s="1" t="s">
        <v>97</v>
      </c>
      <c r="R30" s="1">
        <v>220</v>
      </c>
      <c r="S30" s="1">
        <v>220</v>
      </c>
      <c r="T30" s="1" t="s">
        <v>1406</v>
      </c>
      <c r="U30" s="1" t="s">
        <v>1288</v>
      </c>
      <c r="V30" s="1" t="s">
        <v>1407</v>
      </c>
      <c r="AA30" s="1" t="s">
        <v>119</v>
      </c>
      <c r="AE30" s="14">
        <v>16798</v>
      </c>
      <c r="AF30" s="1" t="s">
        <v>1292</v>
      </c>
      <c r="AH30" s="1" t="s">
        <v>862</v>
      </c>
      <c r="AI30" s="4">
        <v>44837</v>
      </c>
      <c r="AM30" s="66" t="str">
        <f t="shared" si="0"/>
        <v/>
      </c>
    </row>
    <row r="31" spans="1:39" ht="28.8" x14ac:dyDescent="0.35">
      <c r="A31" s="1" t="s">
        <v>26</v>
      </c>
      <c r="B31" s="1">
        <v>2</v>
      </c>
      <c r="C31" s="1" t="s">
        <v>1281</v>
      </c>
      <c r="D31" s="1" t="s">
        <v>739</v>
      </c>
      <c r="F31" s="1" t="s">
        <v>94</v>
      </c>
      <c r="H31" s="1" t="s">
        <v>1408</v>
      </c>
      <c r="I31" s="1" t="s">
        <v>1409</v>
      </c>
      <c r="J31" s="1" t="s">
        <v>126</v>
      </c>
      <c r="K31" s="1" t="s">
        <v>1285</v>
      </c>
      <c r="L31" s="68">
        <v>3598.94</v>
      </c>
      <c r="O31" s="1" t="s">
        <v>1286</v>
      </c>
      <c r="P31" s="1">
        <v>130</v>
      </c>
      <c r="Q31" s="1" t="s">
        <v>97</v>
      </c>
      <c r="R31" s="1">
        <v>220</v>
      </c>
      <c r="S31" s="1">
        <v>220</v>
      </c>
      <c r="T31" s="1" t="s">
        <v>1287</v>
      </c>
      <c r="U31" s="1" t="s">
        <v>1288</v>
      </c>
      <c r="V31" s="1" t="s">
        <v>1410</v>
      </c>
      <c r="AA31" s="1" t="s">
        <v>119</v>
      </c>
      <c r="AB31" s="4">
        <v>42467</v>
      </c>
      <c r="AC31" s="1" t="s">
        <v>1291</v>
      </c>
      <c r="AE31" s="14">
        <v>5440</v>
      </c>
      <c r="AF31" s="1" t="s">
        <v>1411</v>
      </c>
      <c r="AH31" s="1" t="s">
        <v>862</v>
      </c>
      <c r="AI31" s="4">
        <v>44837</v>
      </c>
      <c r="AM31" s="66" t="str">
        <f t="shared" si="0"/>
        <v/>
      </c>
    </row>
    <row r="32" spans="1:39" ht="16.2" x14ac:dyDescent="0.35">
      <c r="A32" s="1" t="s">
        <v>26</v>
      </c>
      <c r="B32" s="1">
        <v>2</v>
      </c>
      <c r="C32" s="1" t="s">
        <v>2588</v>
      </c>
      <c r="D32" s="1" t="s">
        <v>739</v>
      </c>
      <c r="F32" s="1" t="s">
        <v>1356</v>
      </c>
      <c r="H32" s="1" t="s">
        <v>327</v>
      </c>
      <c r="I32" s="1" t="s">
        <v>1412</v>
      </c>
      <c r="J32" s="1" t="s">
        <v>1413</v>
      </c>
      <c r="O32" s="1" t="s">
        <v>234</v>
      </c>
      <c r="P32" s="1">
        <v>80</v>
      </c>
      <c r="Q32" s="1" t="s">
        <v>321</v>
      </c>
      <c r="R32" s="1">
        <v>120</v>
      </c>
      <c r="S32" s="1">
        <v>230</v>
      </c>
      <c r="V32" s="1" t="s">
        <v>1414</v>
      </c>
      <c r="AA32" s="1" t="s">
        <v>1415</v>
      </c>
      <c r="AB32" s="4">
        <v>39814</v>
      </c>
      <c r="AI32" s="4">
        <v>44834</v>
      </c>
      <c r="AM32" s="66" t="str">
        <f t="shared" si="0"/>
        <v/>
      </c>
    </row>
    <row r="33" spans="1:39" ht="28.8" x14ac:dyDescent="0.35">
      <c r="A33" s="1" t="s">
        <v>26</v>
      </c>
      <c r="B33" s="1">
        <v>2</v>
      </c>
      <c r="C33" s="1" t="s">
        <v>1281</v>
      </c>
      <c r="D33" s="1" t="s">
        <v>739</v>
      </c>
      <c r="F33" s="1" t="s">
        <v>1416</v>
      </c>
      <c r="H33" s="1" t="s">
        <v>724</v>
      </c>
      <c r="I33" s="1" t="s">
        <v>1417</v>
      </c>
      <c r="J33" s="1" t="s">
        <v>1418</v>
      </c>
      <c r="K33" s="1" t="s">
        <v>1285</v>
      </c>
      <c r="L33" s="68">
        <v>1250</v>
      </c>
      <c r="O33" s="1" t="s">
        <v>1286</v>
      </c>
      <c r="P33" s="1">
        <v>72</v>
      </c>
      <c r="Q33" s="1" t="s">
        <v>321</v>
      </c>
      <c r="R33" s="1">
        <v>120</v>
      </c>
      <c r="S33" s="1">
        <v>120</v>
      </c>
      <c r="T33" s="1" t="s">
        <v>1419</v>
      </c>
      <c r="U33" s="1" t="s">
        <v>1288</v>
      </c>
      <c r="V33" s="1" t="s">
        <v>1420</v>
      </c>
      <c r="AA33" s="1" t="s">
        <v>1312</v>
      </c>
      <c r="AB33" s="4">
        <v>42466</v>
      </c>
      <c r="AC33" s="1" t="s">
        <v>1291</v>
      </c>
      <c r="AE33" s="14">
        <v>5451</v>
      </c>
      <c r="AF33" s="1" t="s">
        <v>1421</v>
      </c>
      <c r="AH33" s="1" t="s">
        <v>862</v>
      </c>
      <c r="AI33" s="4">
        <v>44837</v>
      </c>
      <c r="AM33" s="66" t="str">
        <f t="shared" si="0"/>
        <v/>
      </c>
    </row>
    <row r="34" spans="1:39" ht="28.8" x14ac:dyDescent="0.35">
      <c r="A34" s="1" t="s">
        <v>26</v>
      </c>
      <c r="B34" s="1">
        <v>2</v>
      </c>
      <c r="C34" s="1" t="s">
        <v>1281</v>
      </c>
      <c r="D34" s="1" t="s">
        <v>739</v>
      </c>
      <c r="F34" s="1" t="s">
        <v>1422</v>
      </c>
      <c r="H34" s="1" t="s">
        <v>458</v>
      </c>
      <c r="I34" s="1" t="s">
        <v>1423</v>
      </c>
      <c r="J34" s="1" t="s">
        <v>1424</v>
      </c>
      <c r="K34" s="1" t="s">
        <v>1285</v>
      </c>
      <c r="L34" s="68">
        <v>13900</v>
      </c>
      <c r="O34" s="1" t="s">
        <v>1286</v>
      </c>
      <c r="P34" s="1">
        <v>70</v>
      </c>
      <c r="Q34" s="1" t="s">
        <v>198</v>
      </c>
      <c r="R34" s="1">
        <v>120</v>
      </c>
      <c r="S34" s="1">
        <v>220</v>
      </c>
      <c r="T34" s="1" t="s">
        <v>1373</v>
      </c>
      <c r="U34" s="1" t="s">
        <v>1288</v>
      </c>
      <c r="V34" s="1" t="s">
        <v>1425</v>
      </c>
      <c r="AA34" s="1" t="s">
        <v>1312</v>
      </c>
      <c r="AB34" s="4">
        <v>41506</v>
      </c>
      <c r="AE34" s="14">
        <v>13116</v>
      </c>
      <c r="AF34" s="1" t="s">
        <v>1426</v>
      </c>
      <c r="AH34" s="1" t="s">
        <v>862</v>
      </c>
      <c r="AI34" s="4">
        <v>44837</v>
      </c>
      <c r="AM34" s="66" t="str">
        <f t="shared" si="0"/>
        <v/>
      </c>
    </row>
    <row r="35" spans="1:39" ht="28.8" x14ac:dyDescent="0.35">
      <c r="A35" s="1" t="s">
        <v>26</v>
      </c>
      <c r="B35" s="1">
        <v>2</v>
      </c>
      <c r="C35" s="1" t="s">
        <v>1281</v>
      </c>
      <c r="D35" s="1" t="s">
        <v>739</v>
      </c>
      <c r="F35" s="1" t="s">
        <v>1403</v>
      </c>
      <c r="H35" s="1" t="s">
        <v>724</v>
      </c>
      <c r="I35" s="1" t="s">
        <v>1427</v>
      </c>
      <c r="J35" s="1" t="s">
        <v>1428</v>
      </c>
      <c r="K35" s="1" t="s">
        <v>1285</v>
      </c>
      <c r="O35" s="1" t="s">
        <v>1286</v>
      </c>
      <c r="P35" s="1">
        <v>70</v>
      </c>
      <c r="Q35" s="1" t="s">
        <v>97</v>
      </c>
      <c r="R35" s="1">
        <v>127</v>
      </c>
      <c r="S35" s="1">
        <v>220</v>
      </c>
      <c r="T35" s="1" t="s">
        <v>1429</v>
      </c>
      <c r="U35" s="1" t="s">
        <v>1288</v>
      </c>
      <c r="V35" s="1" t="s">
        <v>1430</v>
      </c>
      <c r="AA35" s="1" t="s">
        <v>119</v>
      </c>
      <c r="AE35" s="14">
        <v>16822</v>
      </c>
      <c r="AF35" s="1" t="s">
        <v>1292</v>
      </c>
      <c r="AG35" s="1" t="s">
        <v>1431</v>
      </c>
      <c r="AH35" s="1" t="s">
        <v>862</v>
      </c>
      <c r="AI35" s="4">
        <v>44837</v>
      </c>
      <c r="AM35" s="66" t="str">
        <f t="shared" si="0"/>
        <v/>
      </c>
    </row>
    <row r="36" spans="1:39" ht="28.8" x14ac:dyDescent="0.35">
      <c r="A36" s="1" t="s">
        <v>26</v>
      </c>
      <c r="B36" s="1">
        <v>2</v>
      </c>
      <c r="C36" s="1" t="s">
        <v>1281</v>
      </c>
      <c r="D36" s="1" t="s">
        <v>739</v>
      </c>
      <c r="F36" s="1" t="s">
        <v>1432</v>
      </c>
      <c r="H36" s="1" t="s">
        <v>1433</v>
      </c>
      <c r="I36" s="1" t="s">
        <v>1434</v>
      </c>
      <c r="J36" s="1" t="s">
        <v>1435</v>
      </c>
      <c r="K36" s="1" t="s">
        <v>1285</v>
      </c>
      <c r="L36" s="68">
        <v>1668.99</v>
      </c>
      <c r="O36" s="1" t="s">
        <v>1286</v>
      </c>
      <c r="P36" s="1">
        <v>12.3</v>
      </c>
      <c r="Q36" s="1" t="s">
        <v>198</v>
      </c>
      <c r="R36" s="1">
        <v>220</v>
      </c>
      <c r="S36" s="1">
        <v>240</v>
      </c>
      <c r="T36" s="1" t="s">
        <v>1352</v>
      </c>
      <c r="U36" s="1" t="s">
        <v>1288</v>
      </c>
      <c r="V36" s="1" t="s">
        <v>1436</v>
      </c>
      <c r="AA36" s="1" t="s">
        <v>1312</v>
      </c>
      <c r="AB36" s="4">
        <v>37806</v>
      </c>
      <c r="AC36" s="1" t="s">
        <v>1299</v>
      </c>
      <c r="AD36" s="1" t="s">
        <v>72</v>
      </c>
      <c r="AE36" s="14">
        <v>15860</v>
      </c>
      <c r="AF36" s="1" t="s">
        <v>1437</v>
      </c>
      <c r="AH36" s="1" t="s">
        <v>862</v>
      </c>
      <c r="AI36" s="4">
        <v>44837</v>
      </c>
      <c r="AM36" s="66" t="str">
        <f t="shared" si="0"/>
        <v/>
      </c>
    </row>
    <row r="37" spans="1:39" ht="28.8" x14ac:dyDescent="0.35">
      <c r="A37" s="1" t="s">
        <v>26</v>
      </c>
      <c r="B37" s="1">
        <v>2</v>
      </c>
      <c r="C37" s="1" t="s">
        <v>1281</v>
      </c>
      <c r="D37" s="1" t="s">
        <v>739</v>
      </c>
      <c r="F37" s="1" t="s">
        <v>1438</v>
      </c>
      <c r="H37" s="1" t="s">
        <v>318</v>
      </c>
      <c r="I37" s="1" t="s">
        <v>1439</v>
      </c>
      <c r="J37" s="1" t="s">
        <v>1440</v>
      </c>
      <c r="K37" s="1" t="s">
        <v>1285</v>
      </c>
      <c r="L37" s="68">
        <v>6807.33</v>
      </c>
      <c r="O37" s="1" t="s">
        <v>1286</v>
      </c>
      <c r="P37" s="1">
        <v>6</v>
      </c>
      <c r="Q37" s="1" t="s">
        <v>321</v>
      </c>
      <c r="R37" s="1">
        <v>120</v>
      </c>
      <c r="S37" s="1">
        <v>120</v>
      </c>
      <c r="T37" s="1" t="s">
        <v>1287</v>
      </c>
      <c r="U37" s="1" t="s">
        <v>1288</v>
      </c>
      <c r="V37" s="1">
        <v>3510</v>
      </c>
      <c r="AA37" s="1" t="s">
        <v>1312</v>
      </c>
      <c r="AB37" s="4">
        <v>42198</v>
      </c>
      <c r="AC37" s="1" t="s">
        <v>1441</v>
      </c>
      <c r="AE37" s="14">
        <v>5452</v>
      </c>
      <c r="AF37" s="1" t="s">
        <v>1442</v>
      </c>
      <c r="AH37" s="1" t="s">
        <v>862</v>
      </c>
      <c r="AI37" s="4">
        <v>44837</v>
      </c>
      <c r="AM37" s="66" t="str">
        <f t="shared" si="0"/>
        <v/>
      </c>
    </row>
    <row r="38" spans="1:39" ht="28.8" x14ac:dyDescent="0.35">
      <c r="A38" s="1" t="s">
        <v>26</v>
      </c>
      <c r="B38" s="1">
        <v>2</v>
      </c>
      <c r="C38" s="1" t="s">
        <v>1281</v>
      </c>
      <c r="D38" s="1" t="s">
        <v>739</v>
      </c>
      <c r="F38" s="1" t="s">
        <v>470</v>
      </c>
      <c r="H38" s="1" t="s">
        <v>464</v>
      </c>
      <c r="I38" s="1" t="s">
        <v>1443</v>
      </c>
      <c r="J38" s="1" t="s">
        <v>1444</v>
      </c>
      <c r="K38" s="1" t="s">
        <v>1285</v>
      </c>
      <c r="L38" s="68">
        <v>17985.099999999999</v>
      </c>
      <c r="O38" s="1" t="s">
        <v>1286</v>
      </c>
      <c r="P38" s="1">
        <v>5</v>
      </c>
      <c r="Q38" s="1" t="s">
        <v>33</v>
      </c>
      <c r="R38" s="1">
        <v>220</v>
      </c>
      <c r="S38" s="1">
        <v>230</v>
      </c>
      <c r="T38" s="1" t="s">
        <v>1287</v>
      </c>
      <c r="U38" s="1" t="s">
        <v>1288</v>
      </c>
      <c r="V38" s="1" t="s">
        <v>1445</v>
      </c>
      <c r="AA38" s="1" t="s">
        <v>119</v>
      </c>
      <c r="AB38" s="4">
        <v>40371</v>
      </c>
      <c r="AE38" s="14" t="s">
        <v>1446</v>
      </c>
      <c r="AF38" s="1" t="s">
        <v>1447</v>
      </c>
      <c r="AG38" s="4"/>
      <c r="AH38" s="1" t="s">
        <v>862</v>
      </c>
      <c r="AI38" s="4">
        <v>44837</v>
      </c>
      <c r="AM38" s="66" t="str">
        <f t="shared" si="0"/>
        <v/>
      </c>
    </row>
    <row r="39" spans="1:39" ht="28.8" x14ac:dyDescent="0.35">
      <c r="A39" s="1" t="s">
        <v>26</v>
      </c>
      <c r="B39" s="1">
        <v>2</v>
      </c>
      <c r="C39" s="1" t="s">
        <v>1281</v>
      </c>
      <c r="D39" s="1" t="s">
        <v>739</v>
      </c>
      <c r="F39" s="1" t="s">
        <v>1448</v>
      </c>
      <c r="H39" s="1" t="s">
        <v>491</v>
      </c>
      <c r="I39" s="1" t="s">
        <v>1449</v>
      </c>
      <c r="J39" s="1" t="s">
        <v>1450</v>
      </c>
      <c r="K39" s="1" t="s">
        <v>1285</v>
      </c>
      <c r="L39" s="68">
        <v>241.67</v>
      </c>
      <c r="O39" s="1" t="s">
        <v>1286</v>
      </c>
      <c r="P39" s="1">
        <v>2</v>
      </c>
      <c r="Q39" s="1" t="s">
        <v>198</v>
      </c>
      <c r="R39" s="1">
        <v>220</v>
      </c>
      <c r="S39" s="1">
        <v>220</v>
      </c>
      <c r="T39" s="1" t="s">
        <v>1352</v>
      </c>
      <c r="U39" s="1" t="s">
        <v>1288</v>
      </c>
      <c r="V39" s="1" t="s">
        <v>1451</v>
      </c>
      <c r="AA39" s="1" t="s">
        <v>119</v>
      </c>
      <c r="AB39" s="4">
        <v>41894</v>
      </c>
      <c r="AE39" s="14">
        <v>4894</v>
      </c>
      <c r="AF39" s="1" t="s">
        <v>1452</v>
      </c>
      <c r="AH39" s="1" t="s">
        <v>862</v>
      </c>
      <c r="AI39" s="4">
        <v>44838</v>
      </c>
      <c r="AM39" s="66" t="str">
        <f t="shared" si="0"/>
        <v/>
      </c>
    </row>
    <row r="40" spans="1:39" ht="28.8" x14ac:dyDescent="0.35">
      <c r="A40" s="1" t="s">
        <v>26</v>
      </c>
      <c r="B40" s="1">
        <v>2</v>
      </c>
      <c r="C40" s="1" t="s">
        <v>1281</v>
      </c>
      <c r="D40" s="1" t="s">
        <v>739</v>
      </c>
      <c r="F40" s="1" t="s">
        <v>1453</v>
      </c>
      <c r="H40" s="1" t="s">
        <v>491</v>
      </c>
      <c r="I40" s="1" t="s">
        <v>1454</v>
      </c>
      <c r="J40" s="1" t="s">
        <v>1455</v>
      </c>
      <c r="K40" s="1" t="s">
        <v>1285</v>
      </c>
      <c r="O40" s="1" t="s">
        <v>1286</v>
      </c>
      <c r="P40" s="1">
        <v>2</v>
      </c>
      <c r="Q40" s="1" t="s">
        <v>198</v>
      </c>
      <c r="R40" s="1">
        <v>220</v>
      </c>
      <c r="S40" s="1">
        <v>220</v>
      </c>
      <c r="T40" s="1" t="s">
        <v>1352</v>
      </c>
      <c r="U40" s="1" t="s">
        <v>1288</v>
      </c>
      <c r="V40" s="1" t="s">
        <v>1456</v>
      </c>
      <c r="AA40" s="1" t="s">
        <v>119</v>
      </c>
      <c r="AD40" s="1" t="s">
        <v>754</v>
      </c>
      <c r="AE40" s="14" t="s">
        <v>755</v>
      </c>
      <c r="AF40" s="1" t="s">
        <v>1452</v>
      </c>
      <c r="AH40" s="1" t="s">
        <v>862</v>
      </c>
      <c r="AI40" s="4">
        <v>44838</v>
      </c>
      <c r="AM40" s="66" t="str">
        <f t="shared" si="0"/>
        <v/>
      </c>
    </row>
    <row r="41" spans="1:39" ht="28.8" x14ac:dyDescent="0.35">
      <c r="A41" s="1" t="s">
        <v>26</v>
      </c>
      <c r="B41" s="1">
        <v>2</v>
      </c>
      <c r="C41" s="1" t="s">
        <v>1281</v>
      </c>
      <c r="D41" s="1" t="s">
        <v>739</v>
      </c>
      <c r="F41" s="1" t="s">
        <v>1457</v>
      </c>
      <c r="H41" s="1" t="s">
        <v>491</v>
      </c>
      <c r="I41" s="1" t="s">
        <v>1458</v>
      </c>
      <c r="J41" s="1" t="s">
        <v>126</v>
      </c>
      <c r="K41" s="1" t="s">
        <v>1285</v>
      </c>
      <c r="L41" s="68">
        <v>2359.8000000000002</v>
      </c>
      <c r="O41" s="1" t="s">
        <v>1286</v>
      </c>
      <c r="P41" s="1">
        <v>1</v>
      </c>
      <c r="Q41" s="1" t="s">
        <v>198</v>
      </c>
      <c r="R41" s="1">
        <v>120</v>
      </c>
      <c r="S41" s="1">
        <v>220</v>
      </c>
      <c r="T41" s="1" t="s">
        <v>1459</v>
      </c>
      <c r="U41" s="1" t="s">
        <v>1288</v>
      </c>
      <c r="V41" s="1" t="s">
        <v>1460</v>
      </c>
      <c r="AA41" s="1" t="s">
        <v>119</v>
      </c>
      <c r="AB41" s="4">
        <v>41816</v>
      </c>
      <c r="AC41" s="1" t="s">
        <v>1291</v>
      </c>
      <c r="AE41" s="14">
        <v>18710</v>
      </c>
      <c r="AF41" s="1" t="s">
        <v>1452</v>
      </c>
      <c r="AH41" s="1" t="s">
        <v>862</v>
      </c>
      <c r="AI41" s="4">
        <v>44837</v>
      </c>
      <c r="AM41" s="66" t="str">
        <f t="shared" si="0"/>
        <v/>
      </c>
    </row>
    <row r="42" spans="1:39" ht="28.8" x14ac:dyDescent="0.35">
      <c r="A42" s="1" t="s">
        <v>26</v>
      </c>
      <c r="B42" s="1">
        <v>2</v>
      </c>
      <c r="C42" s="1" t="s">
        <v>1281</v>
      </c>
      <c r="D42" s="1" t="s">
        <v>739</v>
      </c>
      <c r="F42" s="1" t="s">
        <v>1461</v>
      </c>
      <c r="H42" s="1" t="s">
        <v>458</v>
      </c>
      <c r="I42" s="1" t="s">
        <v>1462</v>
      </c>
      <c r="J42" s="1" t="s">
        <v>1424</v>
      </c>
      <c r="K42" s="1" t="s">
        <v>1285</v>
      </c>
      <c r="L42" s="68">
        <v>13900</v>
      </c>
      <c r="O42" s="1" t="s">
        <v>1286</v>
      </c>
      <c r="P42" s="1">
        <v>1</v>
      </c>
      <c r="Q42" s="1" t="s">
        <v>198</v>
      </c>
      <c r="R42" s="1">
        <v>120</v>
      </c>
      <c r="S42" s="1">
        <v>220</v>
      </c>
      <c r="T42" s="1" t="s">
        <v>1459</v>
      </c>
      <c r="U42" s="1" t="s">
        <v>1288</v>
      </c>
      <c r="V42" s="1" t="s">
        <v>1425</v>
      </c>
      <c r="AA42" s="1" t="s">
        <v>1312</v>
      </c>
      <c r="AB42" s="4">
        <v>41506</v>
      </c>
      <c r="AE42" s="14">
        <v>17152</v>
      </c>
      <c r="AF42" s="1" t="s">
        <v>1426</v>
      </c>
      <c r="AH42" s="1" t="s">
        <v>862</v>
      </c>
      <c r="AI42" s="4">
        <v>44837</v>
      </c>
      <c r="AM42" s="66" t="str">
        <f t="shared" si="0"/>
        <v/>
      </c>
    </row>
    <row r="43" spans="1:39" ht="28.8" x14ac:dyDescent="0.35">
      <c r="A43" s="1" t="s">
        <v>26</v>
      </c>
      <c r="B43" s="1">
        <v>2</v>
      </c>
      <c r="C43" s="1" t="s">
        <v>1281</v>
      </c>
      <c r="D43" s="1" t="s">
        <v>739</v>
      </c>
      <c r="F43" s="1" t="s">
        <v>1463</v>
      </c>
      <c r="H43" s="1" t="s">
        <v>273</v>
      </c>
      <c r="I43" s="1" t="s">
        <v>1464</v>
      </c>
      <c r="J43" s="1" t="s">
        <v>1259</v>
      </c>
      <c r="K43" s="1" t="s">
        <v>1285</v>
      </c>
      <c r="L43" s="68">
        <v>46949.56</v>
      </c>
      <c r="O43" s="1" t="s">
        <v>1286</v>
      </c>
      <c r="P43" s="1">
        <v>0.75</v>
      </c>
      <c r="Q43" s="1" t="s">
        <v>198</v>
      </c>
      <c r="R43" s="1">
        <v>220</v>
      </c>
      <c r="S43" s="1">
        <v>220</v>
      </c>
      <c r="T43" s="1" t="s">
        <v>1465</v>
      </c>
      <c r="U43" s="1" t="s">
        <v>176</v>
      </c>
      <c r="V43" s="1" t="s">
        <v>1466</v>
      </c>
      <c r="AA43" s="1" t="s">
        <v>100</v>
      </c>
      <c r="AB43" s="4">
        <v>37257</v>
      </c>
      <c r="AE43" s="14">
        <v>21532</v>
      </c>
      <c r="AF43" s="1" t="s">
        <v>1467</v>
      </c>
      <c r="AH43" s="1" t="s">
        <v>862</v>
      </c>
      <c r="AI43" s="4">
        <v>44837</v>
      </c>
      <c r="AM43" s="66" t="str">
        <f t="shared" si="0"/>
        <v/>
      </c>
    </row>
    <row r="44" spans="1:39" ht="16.2" x14ac:dyDescent="0.35">
      <c r="A44" s="10" t="s">
        <v>26</v>
      </c>
      <c r="B44" s="10">
        <v>2</v>
      </c>
      <c r="C44" s="10" t="s">
        <v>2581</v>
      </c>
      <c r="D44" s="1" t="s">
        <v>739</v>
      </c>
      <c r="E44" s="10"/>
      <c r="F44" s="10" t="s">
        <v>1314</v>
      </c>
      <c r="G44" s="10"/>
      <c r="H44" s="10" t="s">
        <v>1316</v>
      </c>
      <c r="I44" s="10" t="s">
        <v>1468</v>
      </c>
      <c r="J44" s="1" t="s">
        <v>1469</v>
      </c>
      <c r="O44" s="1" t="s">
        <v>1320</v>
      </c>
      <c r="R44" s="1">
        <v>220</v>
      </c>
      <c r="V44" s="1" t="s">
        <v>1470</v>
      </c>
      <c r="AA44" s="1" t="s">
        <v>860</v>
      </c>
      <c r="AC44" s="1" t="s">
        <v>1471</v>
      </c>
      <c r="AF44" s="1" t="s">
        <v>1322</v>
      </c>
      <c r="AG44" s="10"/>
      <c r="AH44" s="43" t="s">
        <v>862</v>
      </c>
      <c r="AI44" s="4">
        <v>44834</v>
      </c>
      <c r="AM44" s="66" t="str">
        <f t="shared" si="0"/>
        <v/>
      </c>
    </row>
    <row r="45" spans="1:39" ht="16.2" x14ac:dyDescent="0.35">
      <c r="A45" s="10" t="s">
        <v>26</v>
      </c>
      <c r="B45" s="10">
        <v>2</v>
      </c>
      <c r="C45" s="10" t="s">
        <v>2581</v>
      </c>
      <c r="D45" s="1" t="s">
        <v>739</v>
      </c>
      <c r="E45" s="10"/>
      <c r="F45" s="10" t="s">
        <v>1314</v>
      </c>
      <c r="G45" s="10"/>
      <c r="H45" s="10" t="s">
        <v>1316</v>
      </c>
      <c r="I45" s="10" t="s">
        <v>1472</v>
      </c>
      <c r="J45" s="10" t="s">
        <v>1318</v>
      </c>
      <c r="K45" s="10"/>
      <c r="L45" s="70"/>
      <c r="M45" s="10"/>
      <c r="N45" s="10"/>
      <c r="O45" s="1" t="s">
        <v>1320</v>
      </c>
      <c r="P45" s="10"/>
      <c r="Q45" s="10"/>
      <c r="R45" s="10"/>
      <c r="S45" s="10"/>
      <c r="T45" s="10"/>
      <c r="U45" s="10"/>
      <c r="V45" s="6" t="s">
        <v>1473</v>
      </c>
      <c r="W45" s="6"/>
      <c r="X45" s="6"/>
      <c r="Y45" s="6"/>
      <c r="Z45" s="6"/>
      <c r="AA45" s="6" t="s">
        <v>860</v>
      </c>
      <c r="AB45" s="82"/>
      <c r="AC45" s="6"/>
      <c r="AD45" s="6"/>
      <c r="AE45" s="53" t="s">
        <v>1474</v>
      </c>
      <c r="AF45" s="1" t="s">
        <v>1475</v>
      </c>
      <c r="AG45" s="10"/>
      <c r="AH45" s="11" t="s">
        <v>1476</v>
      </c>
      <c r="AI45" s="4">
        <v>44834</v>
      </c>
      <c r="AK45" s="1"/>
      <c r="AM45" s="66" t="str">
        <f t="shared" si="0"/>
        <v/>
      </c>
    </row>
    <row r="46" spans="1:39" ht="16.2" x14ac:dyDescent="0.35">
      <c r="A46" s="10" t="s">
        <v>26</v>
      </c>
      <c r="B46" s="10">
        <v>2</v>
      </c>
      <c r="C46" s="10" t="s">
        <v>2581</v>
      </c>
      <c r="D46" s="1" t="s">
        <v>739</v>
      </c>
      <c r="E46" s="10"/>
      <c r="F46" s="10" t="s">
        <v>1477</v>
      </c>
      <c r="G46" s="10"/>
      <c r="H46" s="10" t="s">
        <v>1316</v>
      </c>
      <c r="I46" s="10" t="s">
        <v>1478</v>
      </c>
      <c r="J46" s="10" t="s">
        <v>1325</v>
      </c>
      <c r="K46" s="10"/>
      <c r="L46" s="70"/>
      <c r="M46" s="10"/>
      <c r="N46" s="10"/>
      <c r="O46" s="1" t="s">
        <v>1320</v>
      </c>
      <c r="P46" s="10"/>
      <c r="Q46" s="10"/>
      <c r="R46" s="10">
        <v>110</v>
      </c>
      <c r="S46" s="10"/>
      <c r="T46" s="10"/>
      <c r="U46" s="10" t="s">
        <v>1288</v>
      </c>
      <c r="V46" s="6" t="s">
        <v>1479</v>
      </c>
      <c r="W46" s="6"/>
      <c r="X46" s="6"/>
      <c r="Y46" s="6"/>
      <c r="Z46" s="6"/>
      <c r="AA46" s="6"/>
      <c r="AB46" s="82"/>
      <c r="AC46" s="6"/>
      <c r="AD46" s="6"/>
      <c r="AE46" s="53"/>
      <c r="AF46" s="6" t="s">
        <v>1480</v>
      </c>
      <c r="AG46" s="10"/>
      <c r="AH46" s="10"/>
      <c r="AI46" s="4">
        <v>44834</v>
      </c>
      <c r="AM46" s="66" t="str">
        <f t="shared" si="0"/>
        <v/>
      </c>
    </row>
    <row r="47" spans="1:39" ht="16.2" x14ac:dyDescent="0.35">
      <c r="A47" s="10" t="s">
        <v>26</v>
      </c>
      <c r="B47" s="10">
        <v>2</v>
      </c>
      <c r="C47" s="10" t="s">
        <v>2581</v>
      </c>
      <c r="D47" s="1" t="s">
        <v>739</v>
      </c>
      <c r="E47" s="10"/>
      <c r="F47" s="10" t="s">
        <v>1477</v>
      </c>
      <c r="G47" s="10"/>
      <c r="H47" s="10" t="s">
        <v>1316</v>
      </c>
      <c r="I47" s="10" t="s">
        <v>1481</v>
      </c>
      <c r="J47" s="10" t="s">
        <v>1325</v>
      </c>
      <c r="K47" s="10"/>
      <c r="L47" s="70"/>
      <c r="M47" s="10"/>
      <c r="N47" s="10"/>
      <c r="O47" s="1" t="s">
        <v>1320</v>
      </c>
      <c r="P47" s="10"/>
      <c r="Q47" s="10"/>
      <c r="R47" s="10">
        <v>110</v>
      </c>
      <c r="S47" s="10"/>
      <c r="T47" s="10"/>
      <c r="U47" s="10" t="s">
        <v>1288</v>
      </c>
      <c r="V47" s="1" t="s">
        <v>1482</v>
      </c>
      <c r="AC47" s="52"/>
      <c r="AD47" s="52"/>
      <c r="AE47" s="14">
        <v>18696</v>
      </c>
      <c r="AF47" s="1" t="s">
        <v>1480</v>
      </c>
      <c r="AG47" s="10"/>
      <c r="AH47" s="2"/>
      <c r="AI47" s="4">
        <v>44834</v>
      </c>
      <c r="AM47" s="66" t="str">
        <f t="shared" si="0"/>
        <v/>
      </c>
    </row>
    <row r="48" spans="1:39" ht="16.2" x14ac:dyDescent="0.35">
      <c r="A48" s="10" t="s">
        <v>26</v>
      </c>
      <c r="B48" s="10">
        <v>2</v>
      </c>
      <c r="C48" s="10" t="s">
        <v>2581</v>
      </c>
      <c r="D48" s="1" t="s">
        <v>739</v>
      </c>
      <c r="E48" s="10"/>
      <c r="F48" s="10" t="s">
        <v>1483</v>
      </c>
      <c r="G48" s="10"/>
      <c r="H48" s="10" t="s">
        <v>1484</v>
      </c>
      <c r="I48" s="10" t="s">
        <v>1485</v>
      </c>
      <c r="J48" s="10" t="s">
        <v>1325</v>
      </c>
      <c r="K48" s="10"/>
      <c r="L48" s="70"/>
      <c r="M48" s="10"/>
      <c r="N48" s="10"/>
      <c r="O48" s="1" t="s">
        <v>1320</v>
      </c>
      <c r="P48" s="10"/>
      <c r="Q48" s="10"/>
      <c r="R48" s="10">
        <v>110</v>
      </c>
      <c r="S48" s="10"/>
      <c r="T48" s="10"/>
      <c r="U48" s="10" t="s">
        <v>1288</v>
      </c>
      <c r="V48" s="8" t="s">
        <v>1486</v>
      </c>
      <c r="W48" s="6"/>
      <c r="X48" s="6"/>
      <c r="Y48" s="6"/>
      <c r="Z48" s="6"/>
      <c r="AA48" s="8"/>
      <c r="AB48" s="82"/>
      <c r="AC48" s="50"/>
      <c r="AD48" s="50"/>
      <c r="AE48" s="53" t="s">
        <v>1487</v>
      </c>
      <c r="AF48" s="6" t="s">
        <v>1488</v>
      </c>
      <c r="AG48" s="10"/>
      <c r="AH48" s="10" t="s">
        <v>862</v>
      </c>
      <c r="AI48" s="4">
        <v>44834</v>
      </c>
      <c r="AM48" s="66" t="str">
        <f t="shared" si="0"/>
        <v/>
      </c>
    </row>
    <row r="49" spans="1:39" ht="16.2" x14ac:dyDescent="0.35">
      <c r="A49" s="10" t="s">
        <v>26</v>
      </c>
      <c r="B49" s="10">
        <v>2</v>
      </c>
      <c r="C49" s="10" t="s">
        <v>2581</v>
      </c>
      <c r="D49" s="1" t="s">
        <v>739</v>
      </c>
      <c r="E49" s="10"/>
      <c r="F49" s="10" t="s">
        <v>1483</v>
      </c>
      <c r="G49" s="10"/>
      <c r="H49" s="10" t="s">
        <v>1484</v>
      </c>
      <c r="I49" s="10" t="s">
        <v>1489</v>
      </c>
      <c r="J49" s="10" t="s">
        <v>1318</v>
      </c>
      <c r="K49" s="10"/>
      <c r="L49" s="70"/>
      <c r="M49" s="10"/>
      <c r="N49" s="10"/>
      <c r="O49" s="1" t="s">
        <v>1320</v>
      </c>
      <c r="P49" s="10"/>
      <c r="Q49" s="10"/>
      <c r="R49" s="10">
        <v>110</v>
      </c>
      <c r="S49" s="10"/>
      <c r="T49" s="10"/>
      <c r="U49" s="10" t="s">
        <v>1288</v>
      </c>
      <c r="V49" s="48" t="s">
        <v>1490</v>
      </c>
      <c r="AA49" s="6" t="s">
        <v>860</v>
      </c>
      <c r="AF49" s="6" t="s">
        <v>1488</v>
      </c>
      <c r="AH49" s="10" t="s">
        <v>862</v>
      </c>
      <c r="AI49" s="4">
        <v>44834</v>
      </c>
      <c r="AM49" s="66" t="str">
        <f t="shared" si="0"/>
        <v/>
      </c>
    </row>
    <row r="50" spans="1:39" ht="16.2" x14ac:dyDescent="0.35">
      <c r="A50" s="10" t="s">
        <v>26</v>
      </c>
      <c r="B50" s="10">
        <v>2</v>
      </c>
      <c r="C50" s="10" t="s">
        <v>2581</v>
      </c>
      <c r="D50" s="1" t="s">
        <v>739</v>
      </c>
      <c r="E50" s="10"/>
      <c r="F50" s="10" t="s">
        <v>1491</v>
      </c>
      <c r="G50" s="10"/>
      <c r="H50" s="10" t="s">
        <v>1484</v>
      </c>
      <c r="I50" s="10" t="s">
        <v>1492</v>
      </c>
      <c r="J50" s="10" t="s">
        <v>1325</v>
      </c>
      <c r="K50" s="10"/>
      <c r="L50" s="70"/>
      <c r="M50" s="10"/>
      <c r="N50" s="10"/>
      <c r="O50" s="1" t="s">
        <v>1320</v>
      </c>
      <c r="P50" s="10"/>
      <c r="Q50" s="10"/>
      <c r="R50" s="10">
        <v>110</v>
      </c>
      <c r="S50" s="10"/>
      <c r="T50" s="10"/>
      <c r="U50" s="10" t="s">
        <v>1288</v>
      </c>
      <c r="V50" s="1" t="s">
        <v>1493</v>
      </c>
      <c r="AF50" s="6" t="s">
        <v>1494</v>
      </c>
      <c r="AH50" s="10" t="s">
        <v>862</v>
      </c>
      <c r="AI50" s="4">
        <v>44834</v>
      </c>
      <c r="AM50" s="66" t="str">
        <f t="shared" si="0"/>
        <v/>
      </c>
    </row>
    <row r="51" spans="1:39" ht="16.2" x14ac:dyDescent="0.35">
      <c r="A51" s="10" t="s">
        <v>26</v>
      </c>
      <c r="B51" s="10">
        <v>2</v>
      </c>
      <c r="C51" s="10" t="s">
        <v>2581</v>
      </c>
      <c r="D51" s="1" t="s">
        <v>739</v>
      </c>
      <c r="E51" s="10"/>
      <c r="F51" s="10" t="s">
        <v>1491</v>
      </c>
      <c r="G51" s="10"/>
      <c r="H51" s="10" t="s">
        <v>1484</v>
      </c>
      <c r="I51" s="10" t="s">
        <v>1495</v>
      </c>
      <c r="J51" s="6" t="s">
        <v>1325</v>
      </c>
      <c r="K51" s="6"/>
      <c r="L51" s="73"/>
      <c r="M51" s="6"/>
      <c r="N51" s="6"/>
      <c r="O51" s="1" t="s">
        <v>1320</v>
      </c>
      <c r="R51" s="1">
        <v>110</v>
      </c>
      <c r="U51" s="1" t="s">
        <v>1288</v>
      </c>
      <c r="V51" s="1" t="s">
        <v>1496</v>
      </c>
      <c r="AE51" s="14">
        <v>19456</v>
      </c>
      <c r="AF51" s="6" t="s">
        <v>1488</v>
      </c>
      <c r="AH51" s="10" t="s">
        <v>862</v>
      </c>
      <c r="AI51" s="4">
        <v>44834</v>
      </c>
      <c r="AM51" s="66" t="str">
        <f t="shared" si="0"/>
        <v/>
      </c>
    </row>
    <row r="52" spans="1:39" ht="16.2" x14ac:dyDescent="0.35">
      <c r="A52" s="10" t="s">
        <v>26</v>
      </c>
      <c r="B52" s="10">
        <v>2</v>
      </c>
      <c r="C52" s="10" t="s">
        <v>2581</v>
      </c>
      <c r="D52" s="1" t="s">
        <v>739</v>
      </c>
      <c r="E52" s="10"/>
      <c r="F52" s="10" t="s">
        <v>1497</v>
      </c>
      <c r="G52" s="10"/>
      <c r="H52" s="10" t="s">
        <v>1498</v>
      </c>
      <c r="I52" s="10" t="s">
        <v>1499</v>
      </c>
      <c r="J52" s="1" t="s">
        <v>1500</v>
      </c>
      <c r="O52" s="1" t="s">
        <v>1320</v>
      </c>
      <c r="R52" s="1">
        <v>110</v>
      </c>
      <c r="U52" s="1" t="s">
        <v>1288</v>
      </c>
      <c r="AA52" s="6" t="s">
        <v>860</v>
      </c>
      <c r="AF52" s="1" t="s">
        <v>1501</v>
      </c>
      <c r="AH52" s="10" t="s">
        <v>862</v>
      </c>
      <c r="AI52" s="4">
        <v>44834</v>
      </c>
      <c r="AM52" s="66" t="str">
        <f t="shared" si="0"/>
        <v/>
      </c>
    </row>
    <row r="53" spans="1:39" ht="16.2" x14ac:dyDescent="0.35">
      <c r="A53" s="10" t="s">
        <v>26</v>
      </c>
      <c r="B53" s="10">
        <v>2</v>
      </c>
      <c r="C53" s="10" t="s">
        <v>2581</v>
      </c>
      <c r="D53" s="1" t="s">
        <v>739</v>
      </c>
      <c r="E53" s="10"/>
      <c r="F53" s="10" t="s">
        <v>45</v>
      </c>
      <c r="G53" s="10"/>
      <c r="H53" s="10" t="s">
        <v>1502</v>
      </c>
      <c r="I53" s="10" t="s">
        <v>1503</v>
      </c>
      <c r="J53" s="1" t="s">
        <v>1504</v>
      </c>
      <c r="O53" s="1" t="s">
        <v>1320</v>
      </c>
      <c r="R53" s="1">
        <v>110</v>
      </c>
      <c r="U53" s="1" t="s">
        <v>1288</v>
      </c>
      <c r="V53" s="1" t="s">
        <v>1505</v>
      </c>
      <c r="AA53" s="6" t="s">
        <v>860</v>
      </c>
      <c r="AE53" s="55">
        <v>17231</v>
      </c>
      <c r="AF53" s="1" t="s">
        <v>1506</v>
      </c>
      <c r="AH53" s="10" t="s">
        <v>862</v>
      </c>
      <c r="AI53" s="4">
        <v>44834</v>
      </c>
      <c r="AM53" s="66" t="str">
        <f t="shared" si="0"/>
        <v/>
      </c>
    </row>
    <row r="54" spans="1:39" ht="16.2" x14ac:dyDescent="0.35">
      <c r="A54" s="10" t="s">
        <v>26</v>
      </c>
      <c r="B54" s="10">
        <v>2</v>
      </c>
      <c r="C54" s="10" t="s">
        <v>2581</v>
      </c>
      <c r="D54" s="1" t="s">
        <v>739</v>
      </c>
      <c r="E54" s="10"/>
      <c r="F54" s="10" t="s">
        <v>1507</v>
      </c>
      <c r="G54" s="10" t="s">
        <v>1508</v>
      </c>
      <c r="H54" s="10" t="s">
        <v>1509</v>
      </c>
      <c r="I54" s="10" t="s">
        <v>1510</v>
      </c>
      <c r="J54" s="6" t="s">
        <v>1325</v>
      </c>
      <c r="K54" s="6"/>
      <c r="L54" s="73"/>
      <c r="M54" s="6"/>
      <c r="N54" s="6"/>
      <c r="O54" s="1" t="s">
        <v>1320</v>
      </c>
      <c r="R54" s="1">
        <v>220</v>
      </c>
      <c r="U54" s="1" t="s">
        <v>1288</v>
      </c>
      <c r="V54" s="1" t="s">
        <v>1511</v>
      </c>
      <c r="AB54" s="4" t="s">
        <v>2579</v>
      </c>
      <c r="AC54" s="1" t="s">
        <v>1512</v>
      </c>
      <c r="AF54" s="1" t="s">
        <v>1513</v>
      </c>
      <c r="AH54" s="10" t="s">
        <v>862</v>
      </c>
      <c r="AI54" s="4">
        <v>44834</v>
      </c>
      <c r="AM54" s="66" t="str">
        <f t="shared" si="0"/>
        <v/>
      </c>
    </row>
    <row r="55" spans="1:39" ht="16.2" x14ac:dyDescent="0.35">
      <c r="A55" s="43" t="s">
        <v>26</v>
      </c>
      <c r="B55" s="43">
        <v>2</v>
      </c>
      <c r="C55" s="43" t="s">
        <v>2581</v>
      </c>
      <c r="D55" s="1" t="s">
        <v>739</v>
      </c>
      <c r="E55" s="10"/>
      <c r="F55" s="43" t="s">
        <v>1507</v>
      </c>
      <c r="G55" s="46" t="s">
        <v>1514</v>
      </c>
      <c r="H55" s="46" t="s">
        <v>1509</v>
      </c>
      <c r="I55" s="46" t="s">
        <v>1515</v>
      </c>
      <c r="J55" s="43" t="s">
        <v>1516</v>
      </c>
      <c r="K55" s="43"/>
      <c r="L55" s="71"/>
      <c r="M55" s="43"/>
      <c r="N55" s="43"/>
      <c r="O55" s="43" t="s">
        <v>1320</v>
      </c>
      <c r="P55" s="43"/>
      <c r="Q55" s="43"/>
      <c r="R55" s="43">
        <v>220</v>
      </c>
      <c r="S55" s="43"/>
      <c r="T55" s="43"/>
      <c r="U55" s="43" t="s">
        <v>1288</v>
      </c>
      <c r="V55" s="43" t="s">
        <v>1517</v>
      </c>
      <c r="W55" s="43"/>
      <c r="X55" s="43"/>
      <c r="Y55" s="43"/>
      <c r="Z55" s="43"/>
      <c r="AA55" s="43" t="s">
        <v>1518</v>
      </c>
      <c r="AB55" s="78"/>
      <c r="AC55" s="43"/>
      <c r="AD55" s="43"/>
      <c r="AE55" s="44">
        <v>83417</v>
      </c>
      <c r="AF55" s="43" t="s">
        <v>1519</v>
      </c>
      <c r="AG55" s="43"/>
      <c r="AH55" s="46" t="s">
        <v>862</v>
      </c>
      <c r="AI55" s="4">
        <v>44834</v>
      </c>
      <c r="AJ55" s="43"/>
      <c r="AK55" s="43"/>
      <c r="AM55" s="66" t="str">
        <f t="shared" si="0"/>
        <v/>
      </c>
    </row>
    <row r="56" spans="1:39" ht="16.2" x14ac:dyDescent="0.35">
      <c r="A56" s="1" t="s">
        <v>26</v>
      </c>
      <c r="B56" s="1">
        <v>2</v>
      </c>
      <c r="C56" s="1" t="s">
        <v>2581</v>
      </c>
      <c r="D56" s="1" t="s">
        <v>739</v>
      </c>
      <c r="E56" s="10"/>
      <c r="F56" s="1" t="s">
        <v>1507</v>
      </c>
      <c r="G56" s="10" t="s">
        <v>1520</v>
      </c>
      <c r="H56" s="10" t="s">
        <v>1509</v>
      </c>
      <c r="I56" s="10" t="s">
        <v>1521</v>
      </c>
      <c r="J56" s="1" t="s">
        <v>1325</v>
      </c>
      <c r="O56" s="1" t="s">
        <v>1320</v>
      </c>
      <c r="R56" s="1">
        <v>110</v>
      </c>
      <c r="U56" s="1" t="s">
        <v>1288</v>
      </c>
      <c r="V56" s="1" t="s">
        <v>1522</v>
      </c>
      <c r="AE56" s="14">
        <v>84258</v>
      </c>
      <c r="AF56" s="1" t="s">
        <v>1523</v>
      </c>
      <c r="AH56" s="10" t="s">
        <v>862</v>
      </c>
      <c r="AI56" s="4">
        <v>44834</v>
      </c>
      <c r="AM56" s="66" t="str">
        <f t="shared" si="0"/>
        <v/>
      </c>
    </row>
    <row r="57" spans="1:39" ht="16.2" x14ac:dyDescent="0.35">
      <c r="A57" s="1" t="s">
        <v>26</v>
      </c>
      <c r="B57" s="1">
        <v>2</v>
      </c>
      <c r="C57" s="1" t="s">
        <v>2581</v>
      </c>
      <c r="D57" s="1" t="s">
        <v>739</v>
      </c>
      <c r="E57" s="10"/>
      <c r="F57" s="1" t="s">
        <v>1524</v>
      </c>
      <c r="G57" s="10"/>
      <c r="H57" s="10" t="s">
        <v>1484</v>
      </c>
      <c r="I57" s="10" t="s">
        <v>1525</v>
      </c>
      <c r="J57" s="1" t="s">
        <v>1325</v>
      </c>
      <c r="O57" s="1" t="s">
        <v>1320</v>
      </c>
      <c r="R57" s="1">
        <v>220</v>
      </c>
      <c r="U57" s="1" t="s">
        <v>1288</v>
      </c>
      <c r="V57" s="1" t="s">
        <v>1526</v>
      </c>
      <c r="AC57" s="1" t="s">
        <v>1527</v>
      </c>
      <c r="AE57" s="14" t="s">
        <v>1528</v>
      </c>
      <c r="AF57" s="1" t="s">
        <v>1529</v>
      </c>
      <c r="AH57" s="10" t="s">
        <v>862</v>
      </c>
      <c r="AI57" s="4">
        <v>44834</v>
      </c>
      <c r="AM57" s="66" t="str">
        <f t="shared" si="0"/>
        <v/>
      </c>
    </row>
    <row r="58" spans="1:39" ht="16.2" x14ac:dyDescent="0.35">
      <c r="A58" s="1" t="s">
        <v>26</v>
      </c>
      <c r="B58" s="1">
        <v>2</v>
      </c>
      <c r="C58" s="1" t="s">
        <v>2581</v>
      </c>
      <c r="D58" s="1" t="s">
        <v>739</v>
      </c>
      <c r="E58" s="10"/>
      <c r="F58" s="1" t="s">
        <v>1524</v>
      </c>
      <c r="G58" s="10"/>
      <c r="H58" s="10" t="s">
        <v>1484</v>
      </c>
      <c r="I58" s="10" t="s">
        <v>1530</v>
      </c>
      <c r="J58" s="1" t="s">
        <v>1325</v>
      </c>
      <c r="K58" s="1" t="s">
        <v>1319</v>
      </c>
      <c r="L58" s="68">
        <v>49032.07</v>
      </c>
      <c r="O58" s="1" t="s">
        <v>1320</v>
      </c>
      <c r="R58" s="1">
        <v>110</v>
      </c>
      <c r="V58" s="1" t="s">
        <v>1531</v>
      </c>
      <c r="AB58" s="4">
        <v>41275</v>
      </c>
      <c r="AE58" s="14">
        <v>16817</v>
      </c>
      <c r="AF58" s="1" t="s">
        <v>1529</v>
      </c>
      <c r="AH58" s="10" t="s">
        <v>862</v>
      </c>
      <c r="AI58" s="4">
        <v>44839</v>
      </c>
      <c r="AM58" s="66" t="str">
        <f t="shared" si="0"/>
        <v/>
      </c>
    </row>
    <row r="59" spans="1:39" ht="16.2" x14ac:dyDescent="0.35">
      <c r="A59" s="1" t="s">
        <v>26</v>
      </c>
      <c r="B59" s="1">
        <v>2</v>
      </c>
      <c r="C59" s="1" t="s">
        <v>2581</v>
      </c>
      <c r="D59" s="1" t="s">
        <v>739</v>
      </c>
      <c r="E59" s="10"/>
      <c r="F59" s="1" t="s">
        <v>1532</v>
      </c>
      <c r="H59" s="10" t="s">
        <v>1316</v>
      </c>
      <c r="I59" s="10" t="s">
        <v>1533</v>
      </c>
      <c r="J59" s="1" t="s">
        <v>1325</v>
      </c>
      <c r="O59" s="1" t="s">
        <v>1320</v>
      </c>
      <c r="V59" s="1" t="s">
        <v>1534</v>
      </c>
      <c r="AC59" s="1" t="s">
        <v>1527</v>
      </c>
      <c r="AE59" s="14" t="s">
        <v>1535</v>
      </c>
      <c r="AF59" s="1" t="s">
        <v>1536</v>
      </c>
      <c r="AH59" s="11" t="s">
        <v>1476</v>
      </c>
      <c r="AI59" s="4">
        <v>44834</v>
      </c>
      <c r="AM59" s="66" t="str">
        <f t="shared" si="0"/>
        <v/>
      </c>
    </row>
    <row r="60" spans="1:39" ht="16.2" x14ac:dyDescent="0.35">
      <c r="A60" s="43" t="s">
        <v>26</v>
      </c>
      <c r="B60" s="43">
        <v>2</v>
      </c>
      <c r="C60" s="43" t="s">
        <v>2581</v>
      </c>
      <c r="D60" s="1" t="s">
        <v>739</v>
      </c>
      <c r="E60" s="10"/>
      <c r="F60" s="43" t="s">
        <v>1537</v>
      </c>
      <c r="G60" s="43"/>
      <c r="H60" s="43" t="s">
        <v>1075</v>
      </c>
      <c r="I60" s="43" t="s">
        <v>1538</v>
      </c>
      <c r="J60" s="43" t="s">
        <v>556</v>
      </c>
      <c r="K60" s="43"/>
      <c r="L60" s="71"/>
      <c r="M60" s="43"/>
      <c r="N60" s="43"/>
      <c r="O60" s="43" t="s">
        <v>1320</v>
      </c>
      <c r="P60" s="43"/>
      <c r="Q60" s="43"/>
      <c r="R60" s="43">
        <v>220</v>
      </c>
      <c r="S60" s="43"/>
      <c r="T60" s="43"/>
      <c r="U60" s="43"/>
      <c r="V60" s="49" t="s">
        <v>1539</v>
      </c>
      <c r="W60" s="43"/>
      <c r="X60" s="43"/>
      <c r="Y60" s="43"/>
      <c r="Z60" s="43"/>
      <c r="AA60" s="43" t="s">
        <v>860</v>
      </c>
      <c r="AB60" s="78"/>
      <c r="AC60" s="43"/>
      <c r="AD60" s="43"/>
      <c r="AE60" s="44"/>
      <c r="AF60" s="43" t="s">
        <v>1540</v>
      </c>
      <c r="AG60" s="43"/>
      <c r="AH60" s="46" t="s">
        <v>862</v>
      </c>
      <c r="AI60" s="4">
        <v>44834</v>
      </c>
      <c r="AJ60" s="43"/>
      <c r="AK60" s="43"/>
      <c r="AM60" s="66" t="str">
        <f t="shared" si="0"/>
        <v/>
      </c>
    </row>
    <row r="61" spans="1:39" ht="16.2" x14ac:dyDescent="0.35">
      <c r="A61" s="1" t="s">
        <v>26</v>
      </c>
      <c r="B61" s="1">
        <v>2</v>
      </c>
      <c r="C61" s="1" t="s">
        <v>2581</v>
      </c>
      <c r="D61" s="1" t="s">
        <v>739</v>
      </c>
      <c r="E61" s="10"/>
      <c r="F61" s="1" t="s">
        <v>1532</v>
      </c>
      <c r="H61" s="10" t="s">
        <v>1316</v>
      </c>
      <c r="I61" s="10" t="s">
        <v>1541</v>
      </c>
      <c r="J61" s="1" t="s">
        <v>1325</v>
      </c>
      <c r="O61" s="1" t="s">
        <v>1320</v>
      </c>
      <c r="R61" s="1">
        <v>220</v>
      </c>
      <c r="V61" s="1" t="s">
        <v>1542</v>
      </c>
      <c r="AC61" s="1" t="s">
        <v>1543</v>
      </c>
      <c r="AF61" s="1" t="s">
        <v>1544</v>
      </c>
      <c r="AH61" s="2"/>
      <c r="AI61" s="4">
        <v>44834</v>
      </c>
      <c r="AM61" s="66" t="str">
        <f t="shared" si="0"/>
        <v/>
      </c>
    </row>
    <row r="62" spans="1:39" ht="16.2" x14ac:dyDescent="0.35">
      <c r="A62" s="1" t="s">
        <v>26</v>
      </c>
      <c r="B62" s="1">
        <v>2</v>
      </c>
      <c r="C62" s="1" t="s">
        <v>2582</v>
      </c>
      <c r="D62" s="1" t="s">
        <v>739</v>
      </c>
      <c r="E62" s="10"/>
      <c r="F62" s="1" t="s">
        <v>1545</v>
      </c>
      <c r="H62" s="1" t="s">
        <v>1546</v>
      </c>
      <c r="I62" s="1" t="s">
        <v>1547</v>
      </c>
      <c r="J62" s="1" t="s">
        <v>1325</v>
      </c>
      <c r="O62" s="1" t="s">
        <v>1320</v>
      </c>
      <c r="R62" s="1">
        <v>110</v>
      </c>
      <c r="V62" s="1" t="s">
        <v>1548</v>
      </c>
      <c r="AC62" s="1" t="s">
        <v>1549</v>
      </c>
      <c r="AF62" s="1" t="s">
        <v>1550</v>
      </c>
      <c r="AH62" s="10" t="s">
        <v>862</v>
      </c>
      <c r="AI62" s="4">
        <v>44834</v>
      </c>
      <c r="AM62" s="66" t="str">
        <f t="shared" si="0"/>
        <v/>
      </c>
    </row>
    <row r="63" spans="1:39" ht="16.2" x14ac:dyDescent="0.35">
      <c r="A63" s="1" t="s">
        <v>26</v>
      </c>
      <c r="B63" s="1">
        <v>2</v>
      </c>
      <c r="C63" s="1" t="s">
        <v>2582</v>
      </c>
      <c r="D63" s="1" t="s">
        <v>739</v>
      </c>
      <c r="E63" s="10"/>
      <c r="F63" s="1" t="s">
        <v>1551</v>
      </c>
      <c r="H63" s="1" t="s">
        <v>1546</v>
      </c>
      <c r="I63" s="1" t="s">
        <v>1552</v>
      </c>
      <c r="J63" s="1" t="s">
        <v>1553</v>
      </c>
      <c r="O63" s="1" t="s">
        <v>1320</v>
      </c>
      <c r="R63" s="1">
        <v>110</v>
      </c>
      <c r="V63" s="1" t="s">
        <v>1554</v>
      </c>
      <c r="AA63" s="1" t="s">
        <v>1555</v>
      </c>
      <c r="AC63" s="1" t="s">
        <v>1006</v>
      </c>
      <c r="AF63" s="1" t="s">
        <v>1556</v>
      </c>
      <c r="AH63" s="11" t="s">
        <v>1476</v>
      </c>
      <c r="AI63" s="4">
        <v>44834</v>
      </c>
      <c r="AM63" s="66" t="str">
        <f t="shared" si="0"/>
        <v/>
      </c>
    </row>
    <row r="64" spans="1:39" ht="16.2" x14ac:dyDescent="0.35">
      <c r="A64" s="1" t="s">
        <v>26</v>
      </c>
      <c r="B64" s="1">
        <v>2</v>
      </c>
      <c r="C64" s="1" t="s">
        <v>2582</v>
      </c>
      <c r="D64" s="1" t="s">
        <v>739</v>
      </c>
      <c r="E64" s="10"/>
      <c r="F64" s="1" t="s">
        <v>1557</v>
      </c>
      <c r="H64" s="1" t="s">
        <v>1546</v>
      </c>
      <c r="I64" s="1" t="s">
        <v>1558</v>
      </c>
      <c r="J64" s="1" t="s">
        <v>1325</v>
      </c>
      <c r="O64" s="1" t="s">
        <v>1320</v>
      </c>
      <c r="R64" s="1">
        <v>110</v>
      </c>
      <c r="V64" s="1">
        <v>1126</v>
      </c>
      <c r="W64" s="1" t="s">
        <v>1559</v>
      </c>
      <c r="AA64" s="1" t="s">
        <v>1560</v>
      </c>
      <c r="AC64" s="51" t="s">
        <v>1561</v>
      </c>
      <c r="AD64" s="51"/>
      <c r="AE64" s="38" t="s">
        <v>1562</v>
      </c>
      <c r="AF64" s="1" t="s">
        <v>1563</v>
      </c>
      <c r="AH64" s="10" t="s">
        <v>862</v>
      </c>
      <c r="AI64" s="4">
        <v>44834</v>
      </c>
      <c r="AM64" s="66" t="str">
        <f t="shared" si="0"/>
        <v/>
      </c>
    </row>
    <row r="65" spans="1:39" ht="16.2" x14ac:dyDescent="0.35">
      <c r="A65" s="1" t="s">
        <v>26</v>
      </c>
      <c r="B65" s="1">
        <v>2</v>
      </c>
      <c r="C65" s="1" t="s">
        <v>2582</v>
      </c>
      <c r="D65" s="1" t="s">
        <v>739</v>
      </c>
      <c r="E65" s="10"/>
      <c r="F65" s="1" t="s">
        <v>1564</v>
      </c>
      <c r="H65" s="1" t="s">
        <v>1546</v>
      </c>
      <c r="I65" s="1" t="s">
        <v>1565</v>
      </c>
      <c r="J65" s="1" t="s">
        <v>1566</v>
      </c>
      <c r="O65" s="1" t="s">
        <v>1320</v>
      </c>
      <c r="V65" s="1" t="s">
        <v>1567</v>
      </c>
      <c r="AA65" s="1" t="s">
        <v>860</v>
      </c>
      <c r="AF65" s="1" t="s">
        <v>1568</v>
      </c>
      <c r="AH65" s="10" t="s">
        <v>862</v>
      </c>
      <c r="AI65" s="4">
        <v>44834</v>
      </c>
      <c r="AM65" s="66" t="str">
        <f t="shared" si="0"/>
        <v/>
      </c>
    </row>
    <row r="66" spans="1:39" ht="16.2" x14ac:dyDescent="0.35">
      <c r="A66" s="1" t="s">
        <v>26</v>
      </c>
      <c r="B66" s="1">
        <v>2</v>
      </c>
      <c r="C66" s="1" t="s">
        <v>2582</v>
      </c>
      <c r="D66" s="1" t="s">
        <v>739</v>
      </c>
      <c r="E66" s="10"/>
      <c r="F66" s="10" t="s">
        <v>1569</v>
      </c>
      <c r="H66" s="1" t="s">
        <v>1569</v>
      </c>
      <c r="I66" s="1" t="s">
        <v>1570</v>
      </c>
      <c r="J66" s="1" t="s">
        <v>1571</v>
      </c>
      <c r="L66" s="69"/>
      <c r="O66" s="1" t="s">
        <v>1320</v>
      </c>
      <c r="V66" s="1" t="s">
        <v>1572</v>
      </c>
      <c r="AA66" s="1" t="s">
        <v>860</v>
      </c>
      <c r="AE66" s="38">
        <v>16575</v>
      </c>
      <c r="AF66" s="1" t="s">
        <v>1573</v>
      </c>
      <c r="AH66" s="10" t="s">
        <v>862</v>
      </c>
      <c r="AI66" s="4">
        <v>44834</v>
      </c>
      <c r="AM66" s="66" t="str">
        <f t="shared" si="0"/>
        <v/>
      </c>
    </row>
    <row r="67" spans="1:39" ht="16.2" x14ac:dyDescent="0.35">
      <c r="A67" s="1" t="s">
        <v>26</v>
      </c>
      <c r="B67" s="1">
        <v>2</v>
      </c>
      <c r="C67" s="1" t="s">
        <v>2582</v>
      </c>
      <c r="D67" s="1" t="s">
        <v>739</v>
      </c>
      <c r="E67" s="10"/>
      <c r="F67" s="1" t="s">
        <v>1574</v>
      </c>
      <c r="H67" s="1" t="s">
        <v>1575</v>
      </c>
      <c r="I67" s="1" t="s">
        <v>1293</v>
      </c>
      <c r="J67" s="1" t="s">
        <v>1576</v>
      </c>
      <c r="O67" s="1" t="s">
        <v>1320</v>
      </c>
      <c r="R67" s="1">
        <v>220</v>
      </c>
      <c r="V67" s="1" t="s">
        <v>1577</v>
      </c>
      <c r="W67" s="1" t="s">
        <v>1578</v>
      </c>
      <c r="AA67" s="1" t="s">
        <v>860</v>
      </c>
      <c r="AF67" s="1" t="s">
        <v>1579</v>
      </c>
      <c r="AH67" s="10" t="s">
        <v>862</v>
      </c>
      <c r="AI67" s="4">
        <v>44834</v>
      </c>
      <c r="AM67" s="66" t="str">
        <f t="shared" ref="AM67:AM130" si="1">ExtrairCaminhoHiperlink(AJ67)</f>
        <v/>
      </c>
    </row>
    <row r="68" spans="1:39" ht="16.2" x14ac:dyDescent="0.35">
      <c r="A68" s="1" t="s">
        <v>26</v>
      </c>
      <c r="B68" s="1">
        <v>2</v>
      </c>
      <c r="C68" s="1" t="s">
        <v>2582</v>
      </c>
      <c r="D68" s="1" t="s">
        <v>739</v>
      </c>
      <c r="E68" s="10"/>
      <c r="F68" s="1" t="s">
        <v>1580</v>
      </c>
      <c r="H68" s="1" t="s">
        <v>1581</v>
      </c>
      <c r="I68" s="1" t="s">
        <v>1582</v>
      </c>
      <c r="J68" s="1" t="s">
        <v>2590</v>
      </c>
      <c r="O68" s="1" t="s">
        <v>1320</v>
      </c>
      <c r="AE68" s="54" t="s">
        <v>1583</v>
      </c>
      <c r="AH68" s="10" t="s">
        <v>862</v>
      </c>
      <c r="AI68" s="4">
        <v>44834</v>
      </c>
      <c r="AM68" s="66" t="str">
        <f t="shared" si="1"/>
        <v/>
      </c>
    </row>
    <row r="69" spans="1:39" ht="28.8" x14ac:dyDescent="0.35">
      <c r="A69" s="1" t="s">
        <v>26</v>
      </c>
      <c r="B69" s="1">
        <v>2</v>
      </c>
      <c r="C69" s="1" t="s">
        <v>2582</v>
      </c>
      <c r="D69" s="1" t="s">
        <v>739</v>
      </c>
      <c r="E69" s="10"/>
      <c r="F69" s="1" t="s">
        <v>1584</v>
      </c>
      <c r="H69" s="1" t="s">
        <v>1585</v>
      </c>
      <c r="I69" s="1" t="s">
        <v>1586</v>
      </c>
      <c r="J69" s="1" t="s">
        <v>1084</v>
      </c>
      <c r="K69" s="1" t="s">
        <v>1319</v>
      </c>
      <c r="L69" s="68">
        <v>924</v>
      </c>
      <c r="O69" s="1" t="s">
        <v>1320</v>
      </c>
      <c r="R69" s="1">
        <v>110</v>
      </c>
      <c r="V69" s="1" t="s">
        <v>1587</v>
      </c>
      <c r="W69" s="1" t="s">
        <v>1588</v>
      </c>
      <c r="AA69" s="1" t="s">
        <v>860</v>
      </c>
      <c r="AB69" s="4">
        <v>40179</v>
      </c>
      <c r="AE69" s="56" t="s">
        <v>1589</v>
      </c>
      <c r="AF69" s="1" t="s">
        <v>1590</v>
      </c>
      <c r="AH69" s="10" t="s">
        <v>862</v>
      </c>
      <c r="AI69" s="4">
        <v>44109</v>
      </c>
      <c r="AK69" s="1" t="s">
        <v>1591</v>
      </c>
      <c r="AM69" s="66" t="str">
        <f t="shared" si="1"/>
        <v/>
      </c>
    </row>
    <row r="70" spans="1:39" ht="16.2" x14ac:dyDescent="0.35">
      <c r="A70" s="1" t="s">
        <v>26</v>
      </c>
      <c r="B70" s="1">
        <v>2</v>
      </c>
      <c r="C70" s="1" t="s">
        <v>2582</v>
      </c>
      <c r="D70" s="1" t="s">
        <v>739</v>
      </c>
      <c r="E70" s="10"/>
      <c r="F70" s="10" t="s">
        <v>1592</v>
      </c>
      <c r="G70" t="s">
        <v>1593</v>
      </c>
      <c r="H70" s="10" t="s">
        <v>1585</v>
      </c>
      <c r="I70" s="10" t="s">
        <v>1594</v>
      </c>
      <c r="J70" s="1" t="s">
        <v>1595</v>
      </c>
      <c r="O70" s="1" t="s">
        <v>1320</v>
      </c>
      <c r="R70" s="1">
        <v>110</v>
      </c>
      <c r="V70" s="1" t="s">
        <v>1596</v>
      </c>
      <c r="W70" s="1" t="s">
        <v>1597</v>
      </c>
      <c r="AA70" s="1" t="s">
        <v>860</v>
      </c>
      <c r="AE70" s="56" t="s">
        <v>1598</v>
      </c>
      <c r="AF70" s="1" t="s">
        <v>1599</v>
      </c>
      <c r="AH70" s="10" t="s">
        <v>862</v>
      </c>
      <c r="AI70" s="4">
        <v>44834</v>
      </c>
      <c r="AK70" s="1" t="s">
        <v>1600</v>
      </c>
      <c r="AM70" s="66" t="str">
        <f t="shared" si="1"/>
        <v/>
      </c>
    </row>
    <row r="71" spans="1:39" ht="16.2" x14ac:dyDescent="0.35">
      <c r="A71" s="1" t="s">
        <v>26</v>
      </c>
      <c r="B71" s="1">
        <v>2</v>
      </c>
      <c r="C71" s="1" t="s">
        <v>2583</v>
      </c>
      <c r="D71" s="1" t="s">
        <v>739</v>
      </c>
      <c r="E71" s="10"/>
      <c r="F71" s="1" t="s">
        <v>1601</v>
      </c>
      <c r="H71" s="1" t="s">
        <v>1602</v>
      </c>
      <c r="I71" s="1" t="s">
        <v>1603</v>
      </c>
      <c r="J71" s="1" t="s">
        <v>1604</v>
      </c>
      <c r="O71" s="1" t="s">
        <v>1320</v>
      </c>
      <c r="AC71" s="1" t="s">
        <v>1527</v>
      </c>
      <c r="AE71" s="55" t="s">
        <v>1605</v>
      </c>
      <c r="AF71" s="1" t="s">
        <v>1606</v>
      </c>
      <c r="AH71" s="10" t="s">
        <v>862</v>
      </c>
      <c r="AI71" s="4">
        <v>44834</v>
      </c>
      <c r="AK71" s="1"/>
      <c r="AM71" s="66" t="str">
        <f t="shared" si="1"/>
        <v/>
      </c>
    </row>
    <row r="72" spans="1:39" ht="28.8" x14ac:dyDescent="0.35">
      <c r="A72" s="1" t="s">
        <v>26</v>
      </c>
      <c r="B72" s="1">
        <v>2</v>
      </c>
      <c r="C72" s="1" t="s">
        <v>2583</v>
      </c>
      <c r="D72" s="1" t="s">
        <v>739</v>
      </c>
      <c r="E72" s="10"/>
      <c r="F72" s="1" t="s">
        <v>1585</v>
      </c>
      <c r="H72" s="1" t="s">
        <v>1585</v>
      </c>
      <c r="I72" s="1" t="s">
        <v>1607</v>
      </c>
      <c r="J72" s="1" t="s">
        <v>1608</v>
      </c>
      <c r="L72" s="76"/>
      <c r="O72" s="1" t="s">
        <v>1320</v>
      </c>
      <c r="R72" s="1">
        <v>110</v>
      </c>
      <c r="U72" s="1" t="s">
        <v>1288</v>
      </c>
      <c r="V72" s="1" t="s">
        <v>1609</v>
      </c>
      <c r="W72" s="1" t="s">
        <v>1610</v>
      </c>
      <c r="AA72" s="1" t="s">
        <v>860</v>
      </c>
      <c r="AE72" s="14">
        <v>32677</v>
      </c>
      <c r="AF72" s="1" t="s">
        <v>1611</v>
      </c>
      <c r="AH72" s="10" t="s">
        <v>862</v>
      </c>
      <c r="AI72" s="4">
        <v>44834</v>
      </c>
      <c r="AK72" s="1" t="s">
        <v>1612</v>
      </c>
      <c r="AM72" s="66" t="str">
        <f t="shared" si="1"/>
        <v/>
      </c>
    </row>
    <row r="73" spans="1:39" ht="16.2" x14ac:dyDescent="0.35">
      <c r="A73" s="1" t="s">
        <v>26</v>
      </c>
      <c r="B73" s="1">
        <v>2</v>
      </c>
      <c r="C73" s="1" t="s">
        <v>2583</v>
      </c>
      <c r="D73" s="1" t="s">
        <v>739</v>
      </c>
      <c r="E73" s="10"/>
      <c r="F73" s="1" t="s">
        <v>1613</v>
      </c>
      <c r="H73" s="1" t="s">
        <v>1613</v>
      </c>
      <c r="I73" s="1" t="s">
        <v>1614</v>
      </c>
      <c r="J73" s="1" t="s">
        <v>1615</v>
      </c>
      <c r="O73" s="1" t="s">
        <v>1320</v>
      </c>
      <c r="R73" s="1">
        <v>110</v>
      </c>
      <c r="U73" s="1" t="s">
        <v>1288</v>
      </c>
      <c r="V73" s="1" t="s">
        <v>1616</v>
      </c>
      <c r="W73" s="1" t="s">
        <v>1617</v>
      </c>
      <c r="AF73" s="1" t="s">
        <v>1618</v>
      </c>
      <c r="AH73" s="10" t="s">
        <v>862</v>
      </c>
      <c r="AI73" s="4">
        <v>44834</v>
      </c>
      <c r="AM73" s="66" t="str">
        <f t="shared" si="1"/>
        <v/>
      </c>
    </row>
    <row r="74" spans="1:39" ht="28.8" x14ac:dyDescent="0.35">
      <c r="A74" s="1" t="s">
        <v>26</v>
      </c>
      <c r="B74" s="1">
        <v>2</v>
      </c>
      <c r="C74" s="1" t="s">
        <v>2583</v>
      </c>
      <c r="D74" s="1" t="s">
        <v>739</v>
      </c>
      <c r="E74" s="10"/>
      <c r="F74" s="1" t="s">
        <v>1613</v>
      </c>
      <c r="G74" s="1" t="s">
        <v>1619</v>
      </c>
      <c r="H74" s="1" t="s">
        <v>1613</v>
      </c>
      <c r="I74" s="1" t="s">
        <v>1620</v>
      </c>
      <c r="J74" s="1" t="s">
        <v>1621</v>
      </c>
      <c r="K74" s="1" t="s">
        <v>1285</v>
      </c>
      <c r="L74" s="68">
        <v>6000</v>
      </c>
      <c r="O74" s="1" t="s">
        <v>1320</v>
      </c>
      <c r="R74" s="1">
        <v>220</v>
      </c>
      <c r="V74" s="1" t="s">
        <v>1622</v>
      </c>
      <c r="W74" s="1" t="s">
        <v>1623</v>
      </c>
      <c r="AA74" s="2" t="s">
        <v>860</v>
      </c>
      <c r="AB74" s="4">
        <v>41640</v>
      </c>
      <c r="AE74" s="14">
        <v>4782</v>
      </c>
      <c r="AF74" s="1" t="s">
        <v>1624</v>
      </c>
      <c r="AH74" s="10" t="s">
        <v>862</v>
      </c>
      <c r="AI74" s="4">
        <v>44839</v>
      </c>
      <c r="AM74" s="66" t="str">
        <f t="shared" si="1"/>
        <v/>
      </c>
    </row>
    <row r="75" spans="1:39" ht="28.8" x14ac:dyDescent="0.35">
      <c r="A75" s="1" t="s">
        <v>26</v>
      </c>
      <c r="B75" s="1">
        <v>2</v>
      </c>
      <c r="C75" s="1" t="s">
        <v>2583</v>
      </c>
      <c r="D75" s="1" t="s">
        <v>739</v>
      </c>
      <c r="E75" s="10"/>
      <c r="F75" s="1" t="s">
        <v>1625</v>
      </c>
      <c r="H75" s="1" t="s">
        <v>1626</v>
      </c>
      <c r="I75" s="1" t="s">
        <v>1627</v>
      </c>
      <c r="J75" s="1" t="s">
        <v>1428</v>
      </c>
      <c r="O75" s="1" t="s">
        <v>1320</v>
      </c>
      <c r="R75" s="1">
        <v>220</v>
      </c>
      <c r="AA75" s="1" t="s">
        <v>860</v>
      </c>
      <c r="AE75" s="14">
        <v>16488</v>
      </c>
      <c r="AF75" s="1" t="s">
        <v>1628</v>
      </c>
      <c r="AG75" s="10"/>
      <c r="AH75" s="10" t="s">
        <v>862</v>
      </c>
      <c r="AI75" s="4">
        <v>44834</v>
      </c>
      <c r="AJ75" s="10"/>
      <c r="AM75" s="66" t="str">
        <f t="shared" si="1"/>
        <v/>
      </c>
    </row>
    <row r="76" spans="1:39" ht="16.2" x14ac:dyDescent="0.35">
      <c r="A76" s="1" t="s">
        <v>26</v>
      </c>
      <c r="B76" s="1">
        <v>2</v>
      </c>
      <c r="C76" s="1" t="s">
        <v>2583</v>
      </c>
      <c r="D76" s="1" t="s">
        <v>739</v>
      </c>
      <c r="E76" s="10"/>
      <c r="F76" s="1" t="s">
        <v>1629</v>
      </c>
      <c r="H76" s="1" t="s">
        <v>1626</v>
      </c>
      <c r="I76" s="1" t="s">
        <v>1630</v>
      </c>
      <c r="J76" s="1" t="s">
        <v>1428</v>
      </c>
      <c r="O76" s="1" t="s">
        <v>1320</v>
      </c>
      <c r="R76" s="1">
        <v>220</v>
      </c>
      <c r="AA76" s="2"/>
      <c r="AE76" s="14">
        <v>84258</v>
      </c>
      <c r="AF76" s="1" t="s">
        <v>1631</v>
      </c>
      <c r="AG76" s="10"/>
      <c r="AH76" s="10" t="s">
        <v>862</v>
      </c>
      <c r="AI76" s="4">
        <v>44834</v>
      </c>
      <c r="AJ76" s="10"/>
      <c r="AM76" s="66" t="str">
        <f t="shared" si="1"/>
        <v/>
      </c>
    </row>
    <row r="77" spans="1:39" ht="28.8" x14ac:dyDescent="0.35">
      <c r="A77" s="1" t="s">
        <v>26</v>
      </c>
      <c r="B77" s="1">
        <v>2</v>
      </c>
      <c r="C77" s="1" t="s">
        <v>2583</v>
      </c>
      <c r="D77" s="1" t="s">
        <v>739</v>
      </c>
      <c r="E77" s="10"/>
      <c r="F77" s="1" t="s">
        <v>1632</v>
      </c>
      <c r="H77" s="1" t="s">
        <v>1626</v>
      </c>
      <c r="I77" s="1" t="s">
        <v>1633</v>
      </c>
      <c r="J77" s="1" t="s">
        <v>1634</v>
      </c>
      <c r="K77" s="1" t="s">
        <v>1285</v>
      </c>
      <c r="L77" s="68">
        <v>998</v>
      </c>
      <c r="O77" s="1" t="s">
        <v>1320</v>
      </c>
      <c r="R77" s="1">
        <v>220</v>
      </c>
      <c r="U77" s="1" t="s">
        <v>1288</v>
      </c>
      <c r="V77" s="1" t="s">
        <v>1635</v>
      </c>
      <c r="AA77" s="2" t="s">
        <v>860</v>
      </c>
      <c r="AB77" s="4">
        <v>41275</v>
      </c>
      <c r="AE77" s="14">
        <v>17625</v>
      </c>
      <c r="AF77" s="1" t="s">
        <v>1636</v>
      </c>
      <c r="AG77" s="10"/>
      <c r="AH77" s="10" t="s">
        <v>862</v>
      </c>
      <c r="AI77" s="4">
        <v>44839</v>
      </c>
      <c r="AJ77" s="10"/>
      <c r="AM77" s="66" t="str">
        <f t="shared" si="1"/>
        <v/>
      </c>
    </row>
    <row r="78" spans="1:39" ht="28.8" x14ac:dyDescent="0.35">
      <c r="A78" s="1" t="s">
        <v>26</v>
      </c>
      <c r="B78" s="1">
        <v>2</v>
      </c>
      <c r="C78" s="1" t="s">
        <v>2583</v>
      </c>
      <c r="D78" s="1" t="s">
        <v>739</v>
      </c>
      <c r="E78" s="10"/>
      <c r="F78" s="1" t="s">
        <v>1637</v>
      </c>
      <c r="H78" s="1" t="s">
        <v>1498</v>
      </c>
      <c r="I78" s="1" t="s">
        <v>1638</v>
      </c>
      <c r="J78" s="1" t="s">
        <v>1639</v>
      </c>
      <c r="O78" s="1" t="s">
        <v>1320</v>
      </c>
      <c r="R78" s="1">
        <v>220</v>
      </c>
      <c r="U78" s="1" t="s">
        <v>1288</v>
      </c>
      <c r="AA78" s="1" t="s">
        <v>860</v>
      </c>
      <c r="AE78" s="14">
        <v>23578</v>
      </c>
      <c r="AF78" s="1" t="s">
        <v>1640</v>
      </c>
      <c r="AG78" s="10"/>
      <c r="AH78" s="10" t="s">
        <v>862</v>
      </c>
      <c r="AI78" s="4">
        <v>44834</v>
      </c>
      <c r="AJ78" s="10"/>
      <c r="AM78" s="66" t="str">
        <f t="shared" si="1"/>
        <v/>
      </c>
    </row>
    <row r="79" spans="1:39" ht="16.2" x14ac:dyDescent="0.35">
      <c r="A79" s="1" t="s">
        <v>26</v>
      </c>
      <c r="B79" s="1">
        <v>2</v>
      </c>
      <c r="C79" s="1" t="s">
        <v>2584</v>
      </c>
      <c r="D79" s="1" t="s">
        <v>739</v>
      </c>
      <c r="E79" s="10"/>
      <c r="F79" s="41" t="s">
        <v>1641</v>
      </c>
      <c r="H79" s="1" t="s">
        <v>1642</v>
      </c>
      <c r="I79" s="1" t="s">
        <v>1643</v>
      </c>
      <c r="J79" s="40" t="s">
        <v>1644</v>
      </c>
      <c r="O79" s="1" t="s">
        <v>1320</v>
      </c>
      <c r="R79" s="1">
        <v>110</v>
      </c>
      <c r="V79" s="1" t="s">
        <v>1645</v>
      </c>
      <c r="AA79" s="1" t="s">
        <v>860</v>
      </c>
      <c r="AH79" s="10" t="s">
        <v>862</v>
      </c>
      <c r="AI79" s="4">
        <v>44834</v>
      </c>
      <c r="AM79" s="66" t="str">
        <f t="shared" si="1"/>
        <v/>
      </c>
    </row>
    <row r="80" spans="1:39" ht="16.2" x14ac:dyDescent="0.35">
      <c r="A80" s="1" t="s">
        <v>26</v>
      </c>
      <c r="B80" s="1">
        <v>2</v>
      </c>
      <c r="C80" s="1" t="s">
        <v>2584</v>
      </c>
      <c r="D80" s="1" t="s">
        <v>739</v>
      </c>
      <c r="E80" s="10"/>
      <c r="F80" s="41" t="s">
        <v>1646</v>
      </c>
      <c r="H80" s="1" t="s">
        <v>1642</v>
      </c>
      <c r="I80" s="1" t="s">
        <v>1647</v>
      </c>
      <c r="J80" s="40" t="s">
        <v>1644</v>
      </c>
      <c r="K80" s="1" t="s">
        <v>1285</v>
      </c>
      <c r="O80" s="1" t="s">
        <v>1320</v>
      </c>
      <c r="R80" s="1">
        <v>110</v>
      </c>
      <c r="V80" s="1" t="s">
        <v>1648</v>
      </c>
      <c r="AA80" s="1" t="s">
        <v>860</v>
      </c>
      <c r="AB80" s="81"/>
      <c r="AH80" s="10" t="s">
        <v>862</v>
      </c>
      <c r="AI80" s="4">
        <v>44834</v>
      </c>
      <c r="AM80" s="66" t="str">
        <f t="shared" si="1"/>
        <v/>
      </c>
    </row>
    <row r="81" spans="1:39" ht="16.2" x14ac:dyDescent="0.35">
      <c r="A81" s="43" t="s">
        <v>26</v>
      </c>
      <c r="B81" s="43">
        <v>2</v>
      </c>
      <c r="C81" s="43" t="s">
        <v>2584</v>
      </c>
      <c r="D81" s="1" t="s">
        <v>739</v>
      </c>
      <c r="E81" s="10"/>
      <c r="F81" s="42" t="s">
        <v>1649</v>
      </c>
      <c r="G81" s="39"/>
      <c r="H81" s="1" t="s">
        <v>1642</v>
      </c>
      <c r="I81" s="43" t="s">
        <v>1650</v>
      </c>
      <c r="J81" s="45" t="s">
        <v>1651</v>
      </c>
      <c r="K81" s="43" t="s">
        <v>1285</v>
      </c>
      <c r="L81" s="71">
        <v>879.8</v>
      </c>
      <c r="M81" s="43"/>
      <c r="N81" s="43"/>
      <c r="O81" s="43" t="s">
        <v>1320</v>
      </c>
      <c r="P81" s="43"/>
      <c r="Q81" s="43"/>
      <c r="R81" s="43">
        <v>220</v>
      </c>
      <c r="S81" s="43"/>
      <c r="T81" s="43"/>
      <c r="U81" s="43"/>
      <c r="V81" s="43" t="s">
        <v>1652</v>
      </c>
      <c r="W81" s="43"/>
      <c r="X81" s="43"/>
      <c r="Y81" s="43"/>
      <c r="Z81" s="43"/>
      <c r="AA81" s="43" t="s">
        <v>860</v>
      </c>
      <c r="AB81" s="78">
        <v>33604</v>
      </c>
      <c r="AC81" s="43"/>
      <c r="AD81" s="43"/>
      <c r="AE81" s="44" t="s">
        <v>1653</v>
      </c>
      <c r="AF81" s="43"/>
      <c r="AG81" s="43"/>
      <c r="AH81" s="46" t="s">
        <v>862</v>
      </c>
      <c r="AI81" s="4">
        <v>44834</v>
      </c>
      <c r="AJ81" s="43"/>
      <c r="AK81" s="43"/>
      <c r="AM81" s="66" t="str">
        <f t="shared" si="1"/>
        <v/>
      </c>
    </row>
    <row r="82" spans="1:39" ht="16.2" x14ac:dyDescent="0.35">
      <c r="A82" s="1" t="s">
        <v>26</v>
      </c>
      <c r="B82" s="1">
        <v>2</v>
      </c>
      <c r="C82" s="1" t="s">
        <v>2584</v>
      </c>
      <c r="D82" s="1" t="s">
        <v>739</v>
      </c>
      <c r="E82" s="10"/>
      <c r="F82" s="41" t="s">
        <v>1654</v>
      </c>
      <c r="G82" s="39"/>
      <c r="H82" s="1" t="s">
        <v>1642</v>
      </c>
      <c r="I82" s="1" t="s">
        <v>1655</v>
      </c>
      <c r="J82" s="40" t="s">
        <v>1656</v>
      </c>
      <c r="O82" s="1" t="s">
        <v>1320</v>
      </c>
      <c r="R82" s="1">
        <v>110</v>
      </c>
      <c r="V82" s="1" t="s">
        <v>1652</v>
      </c>
      <c r="AA82" s="1" t="s">
        <v>860</v>
      </c>
      <c r="AH82" s="10" t="s">
        <v>862</v>
      </c>
      <c r="AI82" s="4">
        <v>44834</v>
      </c>
      <c r="AM82" s="66" t="str">
        <f t="shared" si="1"/>
        <v/>
      </c>
    </row>
    <row r="83" spans="1:39" ht="16.2" x14ac:dyDescent="0.35">
      <c r="A83" s="1" t="s">
        <v>26</v>
      </c>
      <c r="B83" s="1">
        <v>2</v>
      </c>
      <c r="C83" s="1" t="s">
        <v>2584</v>
      </c>
      <c r="D83" s="1" t="s">
        <v>739</v>
      </c>
      <c r="E83" s="10"/>
      <c r="F83" s="42" t="s">
        <v>1657</v>
      </c>
      <c r="G83" s="37"/>
      <c r="H83" s="1" t="s">
        <v>1642</v>
      </c>
      <c r="I83" s="1" t="s">
        <v>1658</v>
      </c>
      <c r="J83" s="40" t="s">
        <v>1659</v>
      </c>
      <c r="K83" s="43" t="s">
        <v>1285</v>
      </c>
      <c r="L83" s="71">
        <v>879.8</v>
      </c>
      <c r="O83" s="1" t="s">
        <v>1320</v>
      </c>
      <c r="R83" s="1">
        <v>110</v>
      </c>
      <c r="V83" s="43" t="s">
        <v>1652</v>
      </c>
      <c r="AA83" s="1" t="s">
        <v>860</v>
      </c>
      <c r="AB83" s="4">
        <v>33604</v>
      </c>
      <c r="AE83" s="14" t="s">
        <v>1660</v>
      </c>
      <c r="AH83" s="10" t="s">
        <v>862</v>
      </c>
      <c r="AI83" s="4">
        <v>44834</v>
      </c>
      <c r="AM83" s="66" t="str">
        <f t="shared" si="1"/>
        <v/>
      </c>
    </row>
    <row r="84" spans="1:39" ht="16.2" x14ac:dyDescent="0.35">
      <c r="A84" s="43" t="s">
        <v>26</v>
      </c>
      <c r="B84" s="43">
        <v>2</v>
      </c>
      <c r="C84" s="43" t="s">
        <v>2584</v>
      </c>
      <c r="D84" s="1" t="s">
        <v>739</v>
      </c>
      <c r="E84" s="10"/>
      <c r="F84" s="42" t="s">
        <v>1661</v>
      </c>
      <c r="G84" s="39"/>
      <c r="H84" s="1" t="s">
        <v>1642</v>
      </c>
      <c r="I84" s="43" t="s">
        <v>1662</v>
      </c>
      <c r="J84" s="42" t="s">
        <v>1656</v>
      </c>
      <c r="K84" s="43" t="s">
        <v>1319</v>
      </c>
      <c r="L84" s="71">
        <v>5123.43</v>
      </c>
      <c r="M84" s="43"/>
      <c r="N84" s="43"/>
      <c r="O84" s="43" t="s">
        <v>1320</v>
      </c>
      <c r="P84" s="43"/>
      <c r="Q84" s="43"/>
      <c r="R84" s="43">
        <v>110</v>
      </c>
      <c r="S84" s="43"/>
      <c r="T84" s="43"/>
      <c r="U84" s="43"/>
      <c r="V84" s="43" t="s">
        <v>1652</v>
      </c>
      <c r="W84" s="43"/>
      <c r="X84" s="43"/>
      <c r="Y84" s="43"/>
      <c r="Z84" s="43"/>
      <c r="AA84" s="43" t="s">
        <v>860</v>
      </c>
      <c r="AB84" s="78">
        <v>34335</v>
      </c>
      <c r="AC84" s="43"/>
      <c r="AD84" s="43"/>
      <c r="AE84" s="42">
        <v>33777</v>
      </c>
      <c r="AF84" s="43"/>
      <c r="AG84" s="43"/>
      <c r="AH84" s="10" t="s">
        <v>862</v>
      </c>
      <c r="AI84" s="4">
        <v>44834</v>
      </c>
      <c r="AJ84" s="43"/>
      <c r="AK84" s="43"/>
      <c r="AM84" s="66" t="str">
        <f t="shared" si="1"/>
        <v/>
      </c>
    </row>
    <row r="85" spans="1:39" ht="16.2" x14ac:dyDescent="0.35">
      <c r="A85" s="1" t="s">
        <v>26</v>
      </c>
      <c r="B85" s="1">
        <v>2</v>
      </c>
      <c r="C85" s="1" t="s">
        <v>2584</v>
      </c>
      <c r="D85" s="1" t="s">
        <v>739</v>
      </c>
      <c r="E85" s="10"/>
      <c r="F85" s="41" t="s">
        <v>1663</v>
      </c>
      <c r="G85" s="37"/>
      <c r="H85" s="1" t="s">
        <v>1642</v>
      </c>
      <c r="I85" s="1" t="s">
        <v>1664</v>
      </c>
      <c r="J85" s="41" t="s">
        <v>1665</v>
      </c>
      <c r="O85" s="1" t="s">
        <v>1320</v>
      </c>
      <c r="R85" s="1">
        <v>110</v>
      </c>
      <c r="AE85" s="41">
        <v>47174</v>
      </c>
      <c r="AH85" s="10" t="s">
        <v>862</v>
      </c>
      <c r="AI85" s="4">
        <v>44834</v>
      </c>
      <c r="AM85" s="66" t="str">
        <f t="shared" si="1"/>
        <v/>
      </c>
    </row>
    <row r="86" spans="1:39" ht="16.2" x14ac:dyDescent="0.35">
      <c r="A86" s="1" t="s">
        <v>26</v>
      </c>
      <c r="B86" s="1">
        <v>2</v>
      </c>
      <c r="C86" s="1" t="s">
        <v>2584</v>
      </c>
      <c r="D86" s="1" t="s">
        <v>739</v>
      </c>
      <c r="E86" s="10"/>
      <c r="F86" s="41" t="s">
        <v>1666</v>
      </c>
      <c r="G86" s="2"/>
      <c r="H86" s="1" t="s">
        <v>1642</v>
      </c>
      <c r="I86" s="1" t="s">
        <v>1667</v>
      </c>
      <c r="J86" s="41" t="s">
        <v>1668</v>
      </c>
      <c r="K86" s="1" t="s">
        <v>1285</v>
      </c>
      <c r="L86" s="68">
        <v>2978</v>
      </c>
      <c r="O86" s="1" t="s">
        <v>1320</v>
      </c>
      <c r="R86" s="1">
        <v>110</v>
      </c>
      <c r="V86" s="1" t="s">
        <v>1645</v>
      </c>
      <c r="AA86" s="1" t="s">
        <v>860</v>
      </c>
      <c r="AB86" s="4">
        <v>40179</v>
      </c>
      <c r="AE86" s="41">
        <v>4896</v>
      </c>
      <c r="AH86" s="10" t="s">
        <v>862</v>
      </c>
      <c r="AI86" s="4">
        <v>44839</v>
      </c>
      <c r="AM86" s="66" t="str">
        <f t="shared" si="1"/>
        <v/>
      </c>
    </row>
    <row r="87" spans="1:39" ht="16.2" x14ac:dyDescent="0.35">
      <c r="A87" s="43" t="s">
        <v>26</v>
      </c>
      <c r="B87" s="43">
        <v>2</v>
      </c>
      <c r="C87" s="43" t="s">
        <v>2584</v>
      </c>
      <c r="D87" s="1" t="s">
        <v>739</v>
      </c>
      <c r="E87" s="10"/>
      <c r="F87" s="42" t="s">
        <v>1669</v>
      </c>
      <c r="G87" s="43"/>
      <c r="H87" s="1" t="s">
        <v>1642</v>
      </c>
      <c r="I87" s="43" t="s">
        <v>1670</v>
      </c>
      <c r="J87" s="42" t="s">
        <v>1671</v>
      </c>
      <c r="K87" s="43" t="s">
        <v>1285</v>
      </c>
      <c r="L87" s="71">
        <v>2978</v>
      </c>
      <c r="M87" s="43"/>
      <c r="N87" s="43"/>
      <c r="O87" s="43" t="s">
        <v>1320</v>
      </c>
      <c r="P87" s="43"/>
      <c r="Q87" s="43"/>
      <c r="R87" s="43">
        <v>220</v>
      </c>
      <c r="S87" s="43"/>
      <c r="T87" s="43"/>
      <c r="U87" s="43"/>
      <c r="V87" s="43" t="s">
        <v>1645</v>
      </c>
      <c r="W87" s="43"/>
      <c r="X87" s="43"/>
      <c r="Y87" s="43"/>
      <c r="Z87" s="43"/>
      <c r="AA87" s="43" t="s">
        <v>860</v>
      </c>
      <c r="AB87" s="78">
        <v>40179</v>
      </c>
      <c r="AC87" s="43"/>
      <c r="AD87" s="43"/>
      <c r="AE87" s="42">
        <v>4897</v>
      </c>
      <c r="AF87" s="43"/>
      <c r="AG87" s="43"/>
      <c r="AH87" s="46" t="s">
        <v>862</v>
      </c>
      <c r="AI87" s="4">
        <v>44839</v>
      </c>
      <c r="AJ87" s="43"/>
      <c r="AK87" s="43"/>
      <c r="AM87" s="66" t="str">
        <f t="shared" si="1"/>
        <v/>
      </c>
    </row>
    <row r="88" spans="1:39" ht="16.2" x14ac:dyDescent="0.35">
      <c r="A88" s="43" t="s">
        <v>26</v>
      </c>
      <c r="B88" s="43">
        <v>2</v>
      </c>
      <c r="C88" s="43" t="s">
        <v>2584</v>
      </c>
      <c r="D88" s="1" t="s">
        <v>739</v>
      </c>
      <c r="E88" s="10"/>
      <c r="F88" s="42" t="s">
        <v>1672</v>
      </c>
      <c r="G88" s="43"/>
      <c r="H88" s="1" t="s">
        <v>1642</v>
      </c>
      <c r="I88" s="43" t="s">
        <v>1673</v>
      </c>
      <c r="J88" s="42" t="s">
        <v>1659</v>
      </c>
      <c r="K88" s="43" t="s">
        <v>1285</v>
      </c>
      <c r="L88" s="71">
        <v>879.8</v>
      </c>
      <c r="M88" s="43"/>
      <c r="N88" s="43"/>
      <c r="O88" s="43" t="s">
        <v>1320</v>
      </c>
      <c r="P88" s="43"/>
      <c r="Q88" s="43"/>
      <c r="R88" s="43">
        <v>110</v>
      </c>
      <c r="S88" s="43"/>
      <c r="T88" s="43"/>
      <c r="U88" s="43"/>
      <c r="V88" s="43" t="s">
        <v>1652</v>
      </c>
      <c r="W88" s="43"/>
      <c r="X88" s="43"/>
      <c r="Y88" s="43"/>
      <c r="Z88" s="43"/>
      <c r="AA88" s="43" t="s">
        <v>860</v>
      </c>
      <c r="AB88" s="78">
        <v>33604</v>
      </c>
      <c r="AC88" s="43"/>
      <c r="AD88" s="43"/>
      <c r="AE88" s="42">
        <v>32964</v>
      </c>
      <c r="AF88" s="43"/>
      <c r="AG88" s="43"/>
      <c r="AH88" s="10" t="s">
        <v>862</v>
      </c>
      <c r="AI88" s="4">
        <v>44839</v>
      </c>
      <c r="AJ88" s="43"/>
      <c r="AK88" s="43"/>
      <c r="AM88" s="66" t="str">
        <f t="shared" si="1"/>
        <v/>
      </c>
    </row>
    <row r="89" spans="1:39" ht="16.2" x14ac:dyDescent="0.35">
      <c r="A89" s="43" t="s">
        <v>26</v>
      </c>
      <c r="B89" s="43">
        <v>2</v>
      </c>
      <c r="C89" s="43" t="s">
        <v>2584</v>
      </c>
      <c r="D89" s="1" t="s">
        <v>739</v>
      </c>
      <c r="E89" s="10"/>
      <c r="F89" s="42" t="s">
        <v>1674</v>
      </c>
      <c r="G89" s="43"/>
      <c r="H89" s="1" t="s">
        <v>1642</v>
      </c>
      <c r="I89" s="43" t="s">
        <v>1675</v>
      </c>
      <c r="J89" s="42" t="s">
        <v>1656</v>
      </c>
      <c r="K89" s="43" t="s">
        <v>1285</v>
      </c>
      <c r="L89" s="71">
        <v>909.93</v>
      </c>
      <c r="M89" s="43"/>
      <c r="N89" s="43"/>
      <c r="O89" s="43" t="s">
        <v>1320</v>
      </c>
      <c r="P89" s="43"/>
      <c r="Q89" s="43"/>
      <c r="R89" s="43">
        <v>110</v>
      </c>
      <c r="S89" s="43"/>
      <c r="T89" s="43"/>
      <c r="U89" s="43"/>
      <c r="V89" s="43" t="s">
        <v>1652</v>
      </c>
      <c r="W89" s="43"/>
      <c r="X89" s="43"/>
      <c r="Y89" s="43"/>
      <c r="Z89" s="43"/>
      <c r="AA89" s="43" t="s">
        <v>860</v>
      </c>
      <c r="AB89" s="78">
        <v>35431</v>
      </c>
      <c r="AC89" s="43"/>
      <c r="AD89" s="43"/>
      <c r="AE89" s="42">
        <v>35365</v>
      </c>
      <c r="AF89" s="43"/>
      <c r="AG89" s="43"/>
      <c r="AH89" s="10" t="s">
        <v>862</v>
      </c>
      <c r="AI89" s="4">
        <v>44839</v>
      </c>
      <c r="AJ89" s="43"/>
      <c r="AK89" s="43"/>
      <c r="AM89" s="66" t="str">
        <f t="shared" si="1"/>
        <v/>
      </c>
    </row>
    <row r="90" spans="1:39" ht="16.2" x14ac:dyDescent="0.35">
      <c r="A90" s="43" t="s">
        <v>26</v>
      </c>
      <c r="B90" s="43">
        <v>2</v>
      </c>
      <c r="C90" s="43" t="s">
        <v>2584</v>
      </c>
      <c r="D90" s="1" t="s">
        <v>739</v>
      </c>
      <c r="E90" s="10"/>
      <c r="F90" s="42" t="s">
        <v>1676</v>
      </c>
      <c r="G90" s="43"/>
      <c r="H90" s="1" t="s">
        <v>1642</v>
      </c>
      <c r="I90" s="43" t="s">
        <v>1677</v>
      </c>
      <c r="J90" s="42" t="s">
        <v>1659</v>
      </c>
      <c r="K90" s="43"/>
      <c r="L90" s="71"/>
      <c r="M90" s="43"/>
      <c r="N90" s="43"/>
      <c r="O90" s="43" t="s">
        <v>1320</v>
      </c>
      <c r="P90" s="43"/>
      <c r="Q90" s="43"/>
      <c r="R90" s="43">
        <v>220</v>
      </c>
      <c r="S90" s="43"/>
      <c r="T90" s="43"/>
      <c r="U90" s="43"/>
      <c r="V90" s="43" t="s">
        <v>1652</v>
      </c>
      <c r="W90" s="43"/>
      <c r="X90" s="43"/>
      <c r="Y90" s="43"/>
      <c r="Z90" s="43"/>
      <c r="AA90" s="43" t="s">
        <v>860</v>
      </c>
      <c r="AB90" s="78"/>
      <c r="AC90" s="43"/>
      <c r="AD90" s="43"/>
      <c r="AE90" s="41">
        <v>40444</v>
      </c>
      <c r="AF90" s="43"/>
      <c r="AG90" s="43"/>
      <c r="AH90" s="10" t="s">
        <v>862</v>
      </c>
      <c r="AI90" s="4">
        <v>44834</v>
      </c>
      <c r="AJ90" s="43"/>
      <c r="AK90" s="43"/>
      <c r="AM90" s="66" t="str">
        <f t="shared" si="1"/>
        <v/>
      </c>
    </row>
    <row r="91" spans="1:39" ht="16.2" x14ac:dyDescent="0.35">
      <c r="A91" s="43" t="s">
        <v>26</v>
      </c>
      <c r="B91" s="43">
        <v>2</v>
      </c>
      <c r="C91" s="43" t="s">
        <v>2584</v>
      </c>
      <c r="D91" s="1" t="s">
        <v>739</v>
      </c>
      <c r="E91" s="10"/>
      <c r="F91" s="42" t="s">
        <v>1678</v>
      </c>
      <c r="G91" s="39"/>
      <c r="H91" s="1" t="s">
        <v>1642</v>
      </c>
      <c r="I91" s="43" t="s">
        <v>1679</v>
      </c>
      <c r="J91" s="42" t="s">
        <v>1680</v>
      </c>
      <c r="K91" s="43"/>
      <c r="L91" s="71"/>
      <c r="M91" s="43"/>
      <c r="N91" s="43"/>
      <c r="O91" s="43" t="s">
        <v>1320</v>
      </c>
      <c r="P91" s="43"/>
      <c r="Q91" s="43"/>
      <c r="R91" s="43">
        <v>220</v>
      </c>
      <c r="S91" s="43"/>
      <c r="T91" s="43"/>
      <c r="U91" s="43"/>
      <c r="V91" s="45" t="s">
        <v>1681</v>
      </c>
      <c r="W91" s="43"/>
      <c r="X91" s="43"/>
      <c r="Y91" s="43"/>
      <c r="Z91" s="43"/>
      <c r="AA91" s="43" t="s">
        <v>1682</v>
      </c>
      <c r="AB91" s="78"/>
      <c r="AC91" s="43"/>
      <c r="AD91" s="43"/>
      <c r="AE91" s="41" t="s">
        <v>1683</v>
      </c>
      <c r="AF91" s="43"/>
      <c r="AG91" s="43"/>
      <c r="AH91" s="10" t="s">
        <v>862</v>
      </c>
      <c r="AI91" s="4">
        <v>44834</v>
      </c>
      <c r="AJ91" s="43"/>
      <c r="AK91" s="43"/>
      <c r="AM91" s="66" t="str">
        <f t="shared" si="1"/>
        <v/>
      </c>
    </row>
    <row r="92" spans="1:39" ht="16.2" x14ac:dyDescent="0.35">
      <c r="A92" s="43" t="s">
        <v>26</v>
      </c>
      <c r="B92" s="43">
        <v>2</v>
      </c>
      <c r="C92" s="43" t="s">
        <v>2584</v>
      </c>
      <c r="D92" s="1" t="s">
        <v>739</v>
      </c>
      <c r="E92" s="10"/>
      <c r="F92" s="42" t="s">
        <v>1684</v>
      </c>
      <c r="G92" s="43"/>
      <c r="H92" s="1" t="s">
        <v>1642</v>
      </c>
      <c r="I92" s="43" t="s">
        <v>1685</v>
      </c>
      <c r="J92" s="42" t="s">
        <v>1686</v>
      </c>
      <c r="K92" s="43" t="s">
        <v>1285</v>
      </c>
      <c r="L92" s="71">
        <v>6737.11</v>
      </c>
      <c r="M92" s="43"/>
      <c r="N92" s="43"/>
      <c r="O92" s="43" t="s">
        <v>1320</v>
      </c>
      <c r="P92" s="43"/>
      <c r="Q92" s="43"/>
      <c r="R92" s="43">
        <v>110</v>
      </c>
      <c r="S92" s="43"/>
      <c r="T92" s="43"/>
      <c r="U92" s="43"/>
      <c r="V92" s="45" t="s">
        <v>1687</v>
      </c>
      <c r="W92" s="43"/>
      <c r="X92" s="43"/>
      <c r="Y92" s="43"/>
      <c r="Z92" s="43"/>
      <c r="AA92" s="43"/>
      <c r="AB92" s="78">
        <v>37257</v>
      </c>
      <c r="AC92" s="43"/>
      <c r="AD92" s="43"/>
      <c r="AE92" s="41">
        <v>21523</v>
      </c>
      <c r="AF92" s="43"/>
      <c r="AG92" s="43"/>
      <c r="AH92" s="10" t="s">
        <v>862</v>
      </c>
      <c r="AI92" s="4" t="s">
        <v>1688</v>
      </c>
      <c r="AJ92" s="43"/>
      <c r="AK92" s="43"/>
      <c r="AM92" s="66" t="str">
        <f t="shared" si="1"/>
        <v/>
      </c>
    </row>
    <row r="93" spans="1:39" ht="16.2" x14ac:dyDescent="0.35">
      <c r="A93" s="43" t="s">
        <v>26</v>
      </c>
      <c r="B93" s="43">
        <v>2</v>
      </c>
      <c r="C93" s="43" t="s">
        <v>2584</v>
      </c>
      <c r="D93" s="1" t="s">
        <v>739</v>
      </c>
      <c r="E93" s="10"/>
      <c r="F93" s="42" t="s">
        <v>1689</v>
      </c>
      <c r="G93" s="43"/>
      <c r="H93" s="1" t="s">
        <v>1642</v>
      </c>
      <c r="I93" s="43" t="s">
        <v>1690</v>
      </c>
      <c r="J93" s="42" t="s">
        <v>1686</v>
      </c>
      <c r="K93" s="43"/>
      <c r="L93" s="71"/>
      <c r="M93" s="43"/>
      <c r="N93" s="43"/>
      <c r="O93" s="43" t="s">
        <v>1320</v>
      </c>
      <c r="P93" s="43"/>
      <c r="Q93" s="43"/>
      <c r="R93" s="43">
        <v>110</v>
      </c>
      <c r="S93" s="43"/>
      <c r="T93" s="43"/>
      <c r="U93" s="43"/>
      <c r="V93" s="45" t="s">
        <v>1691</v>
      </c>
      <c r="W93" s="43"/>
      <c r="X93" s="43"/>
      <c r="Y93" s="43"/>
      <c r="Z93" s="43"/>
      <c r="AA93" s="43"/>
      <c r="AB93" s="78"/>
      <c r="AC93" s="43"/>
      <c r="AD93" s="43"/>
      <c r="AE93" s="41"/>
      <c r="AF93" s="43"/>
      <c r="AG93" s="43"/>
      <c r="AH93" s="10" t="s">
        <v>862</v>
      </c>
      <c r="AI93" s="4">
        <v>44834</v>
      </c>
      <c r="AJ93" s="43"/>
      <c r="AK93" s="43"/>
      <c r="AM93" s="66" t="str">
        <f t="shared" si="1"/>
        <v/>
      </c>
    </row>
    <row r="94" spans="1:39" ht="16.2" x14ac:dyDescent="0.35">
      <c r="A94" s="43" t="s">
        <v>26</v>
      </c>
      <c r="B94" s="43">
        <v>2</v>
      </c>
      <c r="C94" s="43" t="s">
        <v>2584</v>
      </c>
      <c r="D94" s="1" t="s">
        <v>739</v>
      </c>
      <c r="E94" s="10"/>
      <c r="F94" s="42" t="s">
        <v>1692</v>
      </c>
      <c r="G94" s="43"/>
      <c r="H94" s="43" t="s">
        <v>1498</v>
      </c>
      <c r="I94" s="43" t="s">
        <v>1693</v>
      </c>
      <c r="J94" s="45" t="s">
        <v>1694</v>
      </c>
      <c r="K94" s="43"/>
      <c r="L94" s="71"/>
      <c r="M94" s="43"/>
      <c r="N94" s="43"/>
      <c r="O94" s="43" t="s">
        <v>1320</v>
      </c>
      <c r="P94" s="43"/>
      <c r="Q94" s="43"/>
      <c r="R94" s="43">
        <v>110</v>
      </c>
      <c r="S94" s="43"/>
      <c r="T94" s="43"/>
      <c r="U94" s="43"/>
      <c r="V94" s="43"/>
      <c r="W94" s="43"/>
      <c r="X94" s="43"/>
      <c r="Y94" s="43"/>
      <c r="Z94" s="43"/>
      <c r="AA94" s="43" t="s">
        <v>860</v>
      </c>
      <c r="AB94" s="78"/>
      <c r="AC94" s="43"/>
      <c r="AD94" s="43"/>
      <c r="AE94" s="42" t="s">
        <v>1695</v>
      </c>
      <c r="AF94" s="43"/>
      <c r="AG94" s="43"/>
      <c r="AH94" s="46" t="s">
        <v>862</v>
      </c>
      <c r="AI94" s="4">
        <v>44834</v>
      </c>
      <c r="AJ94" s="43"/>
      <c r="AK94" s="43"/>
      <c r="AM94" s="66" t="str">
        <f t="shared" si="1"/>
        <v/>
      </c>
    </row>
    <row r="95" spans="1:39" ht="16.2" x14ac:dyDescent="0.35">
      <c r="A95" s="43" t="s">
        <v>26</v>
      </c>
      <c r="B95" s="43">
        <v>2</v>
      </c>
      <c r="C95" s="43" t="s">
        <v>2584</v>
      </c>
      <c r="D95" s="1" t="s">
        <v>739</v>
      </c>
      <c r="E95" s="10"/>
      <c r="F95" s="42" t="s">
        <v>1696</v>
      </c>
      <c r="G95" s="43"/>
      <c r="H95" s="43" t="s">
        <v>1498</v>
      </c>
      <c r="I95" s="43" t="s">
        <v>1697</v>
      </c>
      <c r="J95" s="45" t="s">
        <v>1698</v>
      </c>
      <c r="K95" s="43"/>
      <c r="L95" s="71"/>
      <c r="M95" s="43"/>
      <c r="N95" s="43"/>
      <c r="O95" s="43" t="s">
        <v>1320</v>
      </c>
      <c r="P95" s="43"/>
      <c r="Q95" s="43"/>
      <c r="R95" s="43">
        <v>110</v>
      </c>
      <c r="S95" s="43"/>
      <c r="T95" s="43"/>
      <c r="U95" s="43"/>
      <c r="V95" s="43"/>
      <c r="W95" s="43"/>
      <c r="X95" s="43"/>
      <c r="Y95" s="43"/>
      <c r="Z95" s="43"/>
      <c r="AA95" s="43" t="s">
        <v>860</v>
      </c>
      <c r="AB95" s="78"/>
      <c r="AC95" s="43"/>
      <c r="AD95" s="43"/>
      <c r="AE95" s="42"/>
      <c r="AF95" s="43"/>
      <c r="AG95" s="43"/>
      <c r="AH95" s="46" t="s">
        <v>862</v>
      </c>
      <c r="AI95" s="4">
        <v>44834</v>
      </c>
      <c r="AJ95" s="43"/>
      <c r="AK95" s="43"/>
      <c r="AM95" s="66" t="str">
        <f t="shared" si="1"/>
        <v/>
      </c>
    </row>
    <row r="96" spans="1:39" ht="16.2" x14ac:dyDescent="0.35">
      <c r="A96" s="43" t="s">
        <v>26</v>
      </c>
      <c r="B96" s="43">
        <v>2</v>
      </c>
      <c r="C96" s="43" t="s">
        <v>2584</v>
      </c>
      <c r="D96" s="1" t="s">
        <v>739</v>
      </c>
      <c r="E96" s="10"/>
      <c r="F96" s="42" t="s">
        <v>1699</v>
      </c>
      <c r="G96" s="43"/>
      <c r="H96" s="43" t="s">
        <v>1613</v>
      </c>
      <c r="I96" s="43" t="s">
        <v>1700</v>
      </c>
      <c r="J96" s="45" t="s">
        <v>1701</v>
      </c>
      <c r="K96" s="43" t="s">
        <v>1285</v>
      </c>
      <c r="L96" s="71">
        <v>859.99</v>
      </c>
      <c r="M96" s="43"/>
      <c r="N96" s="43"/>
      <c r="O96" s="43" t="s">
        <v>1320</v>
      </c>
      <c r="P96" s="43"/>
      <c r="Q96" s="43"/>
      <c r="R96" s="43">
        <v>110</v>
      </c>
      <c r="S96" s="43"/>
      <c r="T96" s="43"/>
      <c r="U96" s="43"/>
      <c r="V96" s="45" t="s">
        <v>1702</v>
      </c>
      <c r="W96" s="43"/>
      <c r="X96" s="43"/>
      <c r="Y96" s="43"/>
      <c r="Z96" s="43"/>
      <c r="AA96" s="43" t="s">
        <v>860</v>
      </c>
      <c r="AB96" s="78">
        <v>39448</v>
      </c>
      <c r="AC96" s="43"/>
      <c r="AD96" s="43"/>
      <c r="AE96" s="42">
        <v>3105</v>
      </c>
      <c r="AF96" s="43"/>
      <c r="AG96" s="43"/>
      <c r="AH96" s="46" t="s">
        <v>862</v>
      </c>
      <c r="AI96" s="4">
        <v>44839</v>
      </c>
      <c r="AJ96" s="43"/>
      <c r="AK96" s="43"/>
      <c r="AM96" s="66" t="str">
        <f t="shared" si="1"/>
        <v/>
      </c>
    </row>
    <row r="97" spans="1:39" ht="16.2" x14ac:dyDescent="0.35">
      <c r="A97" s="1" t="s">
        <v>26</v>
      </c>
      <c r="B97" s="1">
        <v>2</v>
      </c>
      <c r="C97" s="1" t="s">
        <v>2585</v>
      </c>
      <c r="D97" s="1" t="s">
        <v>739</v>
      </c>
      <c r="E97" s="10"/>
      <c r="F97" s="1" t="s">
        <v>1703</v>
      </c>
      <c r="G97" s="1" t="s">
        <v>1704</v>
      </c>
      <c r="H97" s="1" t="s">
        <v>1703</v>
      </c>
      <c r="I97" s="1" t="s">
        <v>1705</v>
      </c>
      <c r="J97" s="1" t="s">
        <v>1706</v>
      </c>
      <c r="O97" s="1" t="s">
        <v>1320</v>
      </c>
      <c r="R97" s="1">
        <v>110</v>
      </c>
      <c r="V97" s="1" t="s">
        <v>1707</v>
      </c>
      <c r="W97" s="1" t="s">
        <v>1708</v>
      </c>
      <c r="AB97" s="4">
        <v>40179</v>
      </c>
      <c r="AC97" s="1" t="s">
        <v>1709</v>
      </c>
      <c r="AE97" s="14" t="s">
        <v>1710</v>
      </c>
      <c r="AF97" s="1" t="s">
        <v>1711</v>
      </c>
      <c r="AH97" s="10" t="s">
        <v>862</v>
      </c>
      <c r="AI97" s="4">
        <v>44834</v>
      </c>
      <c r="AM97" s="66" t="str">
        <f t="shared" si="1"/>
        <v/>
      </c>
    </row>
    <row r="98" spans="1:39" ht="28.8" x14ac:dyDescent="0.35">
      <c r="A98" s="1" t="s">
        <v>26</v>
      </c>
      <c r="B98" s="1">
        <v>2</v>
      </c>
      <c r="C98" s="1" t="s">
        <v>2585</v>
      </c>
      <c r="D98" s="1" t="s">
        <v>739</v>
      </c>
      <c r="E98" s="10"/>
      <c r="F98" s="1" t="s">
        <v>1712</v>
      </c>
      <c r="G98" s="2"/>
      <c r="H98" s="1" t="s">
        <v>1713</v>
      </c>
      <c r="I98" s="1" t="s">
        <v>1714</v>
      </c>
      <c r="J98" s="1" t="s">
        <v>1715</v>
      </c>
      <c r="O98" s="1" t="s">
        <v>1320</v>
      </c>
      <c r="R98" s="1">
        <v>110</v>
      </c>
      <c r="W98" s="1" t="s">
        <v>1716</v>
      </c>
      <c r="AE98" s="14" t="s">
        <v>1717</v>
      </c>
      <c r="AF98" s="1" t="s">
        <v>1718</v>
      </c>
      <c r="AH98" s="10"/>
      <c r="AI98" s="4">
        <v>44834</v>
      </c>
      <c r="AM98" s="66" t="str">
        <f t="shared" si="1"/>
        <v/>
      </c>
    </row>
    <row r="99" spans="1:39" ht="16.2" x14ac:dyDescent="0.35">
      <c r="A99" s="1" t="s">
        <v>26</v>
      </c>
      <c r="B99" s="1">
        <v>2</v>
      </c>
      <c r="C99" s="1" t="s">
        <v>2585</v>
      </c>
      <c r="D99" s="1" t="s">
        <v>739</v>
      </c>
      <c r="E99" s="10"/>
      <c r="F99" s="1" t="s">
        <v>1703</v>
      </c>
      <c r="G99" s="1" t="s">
        <v>1719</v>
      </c>
      <c r="H99" s="1" t="s">
        <v>1703</v>
      </c>
      <c r="I99" s="1" t="s">
        <v>1720</v>
      </c>
      <c r="J99" s="1" t="s">
        <v>1719</v>
      </c>
      <c r="O99" s="1" t="s">
        <v>1320</v>
      </c>
      <c r="R99" s="1">
        <v>110</v>
      </c>
      <c r="V99" s="1" t="s">
        <v>1721</v>
      </c>
      <c r="W99" s="1" t="s">
        <v>1722</v>
      </c>
      <c r="AB99" s="4">
        <v>42005</v>
      </c>
      <c r="AC99" s="1" t="s">
        <v>1723</v>
      </c>
      <c r="AE99" s="14" t="s">
        <v>1724</v>
      </c>
      <c r="AF99" s="1" t="s">
        <v>1711</v>
      </c>
      <c r="AH99" s="10" t="s">
        <v>862</v>
      </c>
      <c r="AI99" s="4">
        <v>44839</v>
      </c>
      <c r="AM99" s="66" t="str">
        <f t="shared" si="1"/>
        <v/>
      </c>
    </row>
    <row r="100" spans="1:39" ht="28.8" x14ac:dyDescent="0.35">
      <c r="A100" s="1" t="s">
        <v>26</v>
      </c>
      <c r="B100" s="1">
        <v>2</v>
      </c>
      <c r="C100" s="1" t="s">
        <v>2585</v>
      </c>
      <c r="D100" s="1" t="s">
        <v>739</v>
      </c>
      <c r="E100" s="10"/>
      <c r="F100" s="1" t="s">
        <v>1725</v>
      </c>
      <c r="H100" s="1" t="s">
        <v>1726</v>
      </c>
      <c r="I100" s="1" t="s">
        <v>1727</v>
      </c>
      <c r="J100" s="1" t="s">
        <v>175</v>
      </c>
      <c r="K100" s="1" t="s">
        <v>1285</v>
      </c>
      <c r="L100" s="68">
        <v>16980</v>
      </c>
      <c r="O100" s="1" t="s">
        <v>1320</v>
      </c>
      <c r="R100" s="1">
        <v>110</v>
      </c>
      <c r="V100" s="1" t="s">
        <v>1728</v>
      </c>
      <c r="W100" s="1" t="s">
        <v>1729</v>
      </c>
      <c r="X100" s="1" t="s">
        <v>1730</v>
      </c>
      <c r="AA100" s="1" t="s">
        <v>807</v>
      </c>
      <c r="AB100" s="4">
        <v>42005</v>
      </c>
      <c r="AC100" s="1" t="s">
        <v>1723</v>
      </c>
      <c r="AE100" s="14" t="s">
        <v>1731</v>
      </c>
      <c r="AF100" s="1" t="s">
        <v>1718</v>
      </c>
      <c r="AH100" s="10" t="s">
        <v>862</v>
      </c>
      <c r="AI100" s="4">
        <v>44839</v>
      </c>
      <c r="AM100" s="66" t="str">
        <f t="shared" si="1"/>
        <v/>
      </c>
    </row>
    <row r="101" spans="1:39" ht="16.2" x14ac:dyDescent="0.35">
      <c r="A101" s="1" t="s">
        <v>26</v>
      </c>
      <c r="B101" s="1">
        <v>2</v>
      </c>
      <c r="C101" s="1" t="s">
        <v>2585</v>
      </c>
      <c r="D101" s="1" t="s">
        <v>739</v>
      </c>
      <c r="E101" s="10"/>
      <c r="F101" s="1" t="s">
        <v>1732</v>
      </c>
      <c r="H101" s="1" t="s">
        <v>1733</v>
      </c>
      <c r="I101" s="1" t="s">
        <v>1734</v>
      </c>
      <c r="J101" s="1" t="s">
        <v>1735</v>
      </c>
      <c r="K101" s="1" t="s">
        <v>1285</v>
      </c>
      <c r="L101" s="68">
        <v>48737.41</v>
      </c>
      <c r="O101" s="1" t="s">
        <v>1320</v>
      </c>
      <c r="R101" s="1">
        <v>110</v>
      </c>
      <c r="V101" s="1" t="s">
        <v>1736</v>
      </c>
      <c r="W101" s="2" t="s">
        <v>1737</v>
      </c>
      <c r="X101" s="2"/>
      <c r="Y101" s="2"/>
      <c r="Z101" s="2"/>
      <c r="AE101" s="38" t="s">
        <v>1738</v>
      </c>
      <c r="AF101" s="1" t="s">
        <v>1739</v>
      </c>
      <c r="AH101" s="10" t="s">
        <v>862</v>
      </c>
      <c r="AI101" s="4">
        <v>44839</v>
      </c>
      <c r="AM101" s="66" t="str">
        <f t="shared" si="1"/>
        <v/>
      </c>
    </row>
    <row r="102" spans="1:39" ht="16.2" x14ac:dyDescent="0.35">
      <c r="A102" s="1" t="s">
        <v>26</v>
      </c>
      <c r="B102" s="1">
        <v>2</v>
      </c>
      <c r="C102" s="1" t="s">
        <v>2585</v>
      </c>
      <c r="D102" s="1" t="s">
        <v>739</v>
      </c>
      <c r="E102" s="10"/>
      <c r="F102" s="1" t="s">
        <v>1740</v>
      </c>
      <c r="H102" s="1" t="s">
        <v>1726</v>
      </c>
      <c r="I102" s="1" t="s">
        <v>1741</v>
      </c>
      <c r="J102" s="1" t="s">
        <v>1742</v>
      </c>
      <c r="O102" s="1" t="s">
        <v>1320</v>
      </c>
      <c r="R102" s="1">
        <v>110</v>
      </c>
      <c r="W102" s="2"/>
      <c r="X102" s="2"/>
      <c r="Y102" s="2"/>
      <c r="Z102" s="2"/>
      <c r="AE102" s="38"/>
      <c r="AF102" s="1" t="s">
        <v>1743</v>
      </c>
      <c r="AH102" s="10" t="s">
        <v>862</v>
      </c>
      <c r="AI102" s="4">
        <v>44834</v>
      </c>
      <c r="AM102" s="66" t="str">
        <f t="shared" si="1"/>
        <v/>
      </c>
    </row>
    <row r="103" spans="1:39" ht="16.2" x14ac:dyDescent="0.35">
      <c r="A103" s="1" t="s">
        <v>26</v>
      </c>
      <c r="B103" s="1">
        <v>2</v>
      </c>
      <c r="C103" s="1" t="s">
        <v>2585</v>
      </c>
      <c r="D103" s="1" t="s">
        <v>739</v>
      </c>
      <c r="E103" s="10"/>
      <c r="F103" s="1" t="s">
        <v>1744</v>
      </c>
      <c r="H103" s="1" t="s">
        <v>1744</v>
      </c>
      <c r="I103" s="1" t="s">
        <v>1745</v>
      </c>
      <c r="J103" s="1" t="s">
        <v>1746</v>
      </c>
      <c r="O103" s="1" t="s">
        <v>1320</v>
      </c>
      <c r="R103" s="1">
        <v>220</v>
      </c>
      <c r="V103" s="1" t="s">
        <v>1747</v>
      </c>
      <c r="AA103" s="1" t="s">
        <v>860</v>
      </c>
      <c r="AE103" s="14" t="s">
        <v>1748</v>
      </c>
      <c r="AH103" s="10" t="s">
        <v>862</v>
      </c>
      <c r="AI103" s="4">
        <v>44834</v>
      </c>
      <c r="AM103" s="66" t="str">
        <f t="shared" si="1"/>
        <v/>
      </c>
    </row>
    <row r="104" spans="1:39" ht="16.2" x14ac:dyDescent="0.35">
      <c r="A104" s="1" t="s">
        <v>26</v>
      </c>
      <c r="B104" s="1">
        <v>2</v>
      </c>
      <c r="C104" s="1" t="s">
        <v>2585</v>
      </c>
      <c r="D104" s="1" t="s">
        <v>739</v>
      </c>
      <c r="E104" s="10"/>
      <c r="F104" s="1" t="s">
        <v>1569</v>
      </c>
      <c r="H104" s="1" t="s">
        <v>1433</v>
      </c>
      <c r="I104" s="1" t="s">
        <v>1749</v>
      </c>
      <c r="J104" s="1" t="s">
        <v>1571</v>
      </c>
      <c r="O104" s="1" t="s">
        <v>1320</v>
      </c>
      <c r="R104" s="1">
        <v>110</v>
      </c>
      <c r="V104" s="1" t="s">
        <v>1572</v>
      </c>
      <c r="AA104" s="1" t="s">
        <v>860</v>
      </c>
      <c r="AC104" s="1" t="s">
        <v>1750</v>
      </c>
      <c r="AH104" s="10" t="s">
        <v>862</v>
      </c>
      <c r="AI104" s="4">
        <v>44834</v>
      </c>
      <c r="AM104" s="66" t="str">
        <f t="shared" si="1"/>
        <v/>
      </c>
    </row>
    <row r="105" spans="1:39" ht="16.2" x14ac:dyDescent="0.35">
      <c r="A105" s="1" t="s">
        <v>26</v>
      </c>
      <c r="B105" s="1">
        <v>2</v>
      </c>
      <c r="C105" s="1" t="s">
        <v>2589</v>
      </c>
      <c r="D105" s="1" t="s">
        <v>739</v>
      </c>
      <c r="F105" s="1" t="s">
        <v>1751</v>
      </c>
      <c r="H105" s="1" t="s">
        <v>1752</v>
      </c>
      <c r="I105" s="1" t="s">
        <v>1753</v>
      </c>
      <c r="J105" s="1" t="s">
        <v>1754</v>
      </c>
      <c r="O105" s="1" t="s">
        <v>234</v>
      </c>
      <c r="AB105" s="4">
        <v>40179</v>
      </c>
      <c r="AC105" s="1" t="s">
        <v>151</v>
      </c>
      <c r="AF105" s="1" t="s">
        <v>1755</v>
      </c>
      <c r="AI105" s="4">
        <v>44834</v>
      </c>
      <c r="AM105" s="66" t="str">
        <f t="shared" si="1"/>
        <v/>
      </c>
    </row>
    <row r="106" spans="1:39" ht="32.4" x14ac:dyDescent="0.35">
      <c r="A106" s="1" t="s">
        <v>26</v>
      </c>
      <c r="B106" s="1">
        <v>3</v>
      </c>
      <c r="C106" s="1" t="s">
        <v>2590</v>
      </c>
      <c r="D106" s="1" t="s">
        <v>739</v>
      </c>
      <c r="F106" s="1" t="s">
        <v>758</v>
      </c>
      <c r="H106" s="1" t="s">
        <v>464</v>
      </c>
      <c r="I106" s="1" t="s">
        <v>759</v>
      </c>
      <c r="J106" s="1" t="s">
        <v>2590</v>
      </c>
      <c r="O106" s="1" t="s">
        <v>360</v>
      </c>
      <c r="P106" s="1">
        <v>400</v>
      </c>
      <c r="Q106" s="1" t="s">
        <v>33</v>
      </c>
      <c r="U106" s="1" t="s">
        <v>760</v>
      </c>
      <c r="AE106" s="14" t="s">
        <v>761</v>
      </c>
      <c r="AF106" s="1" t="s">
        <v>762</v>
      </c>
      <c r="AH106" s="1" t="s">
        <v>112</v>
      </c>
      <c r="AI106" s="4">
        <v>44848</v>
      </c>
      <c r="AJ106" s="12" t="s">
        <v>763</v>
      </c>
      <c r="AM106" s="66" t="str">
        <f t="shared" si="1"/>
        <v>https://ensinoiptbr.sharepoint.com/:f:/s/ControledeAtivos/Etk9hfTtrmBMkd4ziGY8ws8BWmA2pfeDVqiKwcV-jLXwKA?e=4ohVHJ</v>
      </c>
    </row>
    <row r="107" spans="1:39" ht="32.4" x14ac:dyDescent="0.35">
      <c r="A107" s="1" t="s">
        <v>26</v>
      </c>
      <c r="B107" s="1">
        <v>3</v>
      </c>
      <c r="C107" s="1" t="s">
        <v>2580</v>
      </c>
      <c r="D107" s="1" t="s">
        <v>739</v>
      </c>
      <c r="F107" s="1" t="s">
        <v>1120</v>
      </c>
      <c r="H107" s="1" t="s">
        <v>671</v>
      </c>
      <c r="I107" s="1" t="s">
        <v>1121</v>
      </c>
      <c r="J107" s="1" t="s">
        <v>1084</v>
      </c>
      <c r="O107" s="1" t="s">
        <v>1122</v>
      </c>
      <c r="P107" s="1">
        <v>6.7</v>
      </c>
      <c r="Q107" s="1" t="s">
        <v>97</v>
      </c>
      <c r="R107" s="1">
        <v>110</v>
      </c>
      <c r="S107" s="1">
        <v>220</v>
      </c>
      <c r="V107" s="1" t="s">
        <v>1123</v>
      </c>
      <c r="AA107" s="1" t="s">
        <v>807</v>
      </c>
      <c r="AB107" s="4">
        <v>42370</v>
      </c>
      <c r="AC107" s="1" t="s">
        <v>1124</v>
      </c>
      <c r="AE107" s="14" t="s">
        <v>1125</v>
      </c>
      <c r="AF107" s="1" t="s">
        <v>777</v>
      </c>
      <c r="AH107" s="1" t="s">
        <v>112</v>
      </c>
      <c r="AI107" s="4">
        <v>44876</v>
      </c>
      <c r="AJ107" s="12" t="s">
        <v>1121</v>
      </c>
      <c r="AK107" s="2" t="s">
        <v>1126</v>
      </c>
      <c r="AM107" s="66" t="str">
        <f t="shared" si="1"/>
        <v>https://ensinoiptbr.sharepoint.com/:f:/s/ControledeAtivos/El-6UclgttNMvvTlnxUFQ34BonqXsWOsR9Tc-XBgzTuVHQ?e=bUhyMd</v>
      </c>
    </row>
    <row r="108" spans="1:39" ht="32.4" x14ac:dyDescent="0.35">
      <c r="A108" s="1" t="s">
        <v>26</v>
      </c>
      <c r="B108" s="1">
        <v>3</v>
      </c>
      <c r="C108" s="1" t="s">
        <v>2580</v>
      </c>
      <c r="D108" s="1" t="s">
        <v>739</v>
      </c>
      <c r="F108" s="1" t="s">
        <v>1151</v>
      </c>
      <c r="H108" s="1" t="s">
        <v>1145</v>
      </c>
      <c r="I108" s="1" t="s">
        <v>1152</v>
      </c>
      <c r="J108" s="1" t="s">
        <v>1153</v>
      </c>
      <c r="O108" s="1" t="s">
        <v>1154</v>
      </c>
      <c r="P108" s="1">
        <v>1300</v>
      </c>
      <c r="Q108" s="1" t="s">
        <v>97</v>
      </c>
      <c r="R108" s="1">
        <v>220</v>
      </c>
      <c r="V108" s="1" t="s">
        <v>1155</v>
      </c>
      <c r="AA108" s="1" t="s">
        <v>807</v>
      </c>
      <c r="AB108" s="4">
        <v>41640</v>
      </c>
      <c r="AC108" s="1" t="s">
        <v>920</v>
      </c>
      <c r="AE108" s="14" t="s">
        <v>1156</v>
      </c>
      <c r="AF108" s="1" t="s">
        <v>1149</v>
      </c>
      <c r="AH108" s="1" t="s">
        <v>862</v>
      </c>
      <c r="AI108" s="4">
        <v>44841</v>
      </c>
      <c r="AJ108" s="12" t="s">
        <v>1146</v>
      </c>
      <c r="AK108" s="2" t="s">
        <v>1157</v>
      </c>
      <c r="AM108" s="66" t="str">
        <f t="shared" si="1"/>
        <v>https://ensinoiptbr.sharepoint.com/:f:/s/ControledeAtivos/EmKA7yz-4M5ArcjWgLips4QB2Tq1LJFjzj0SOdYsZ0EOgQ?e=Rs4mas</v>
      </c>
    </row>
    <row r="109" spans="1:39" ht="43.2" x14ac:dyDescent="0.35">
      <c r="A109" s="1" t="s">
        <v>26</v>
      </c>
      <c r="B109" s="1">
        <v>3</v>
      </c>
      <c r="C109" s="1" t="s">
        <v>1183</v>
      </c>
      <c r="F109" s="1" t="s">
        <v>1184</v>
      </c>
      <c r="H109" s="1" t="s">
        <v>64</v>
      </c>
      <c r="I109" s="1" t="s">
        <v>1185</v>
      </c>
      <c r="J109" s="1" t="s">
        <v>1186</v>
      </c>
      <c r="O109" s="1" t="s">
        <v>1187</v>
      </c>
      <c r="V109" s="1" t="s">
        <v>1188</v>
      </c>
      <c r="W109" s="1" t="s">
        <v>1189</v>
      </c>
      <c r="X109" s="1" t="s">
        <v>1190</v>
      </c>
      <c r="Y109" s="1" t="s">
        <v>1191</v>
      </c>
      <c r="Z109" s="1" t="s">
        <v>1190</v>
      </c>
      <c r="AA109" s="1" t="s">
        <v>1192</v>
      </c>
      <c r="AF109" s="1" t="s">
        <v>1193</v>
      </c>
      <c r="AH109" s="1" t="s">
        <v>1194</v>
      </c>
      <c r="AI109" s="4">
        <v>44837</v>
      </c>
      <c r="AJ109" s="12" t="s">
        <v>1185</v>
      </c>
      <c r="AM109" s="66" t="str">
        <f t="shared" si="1"/>
        <v>https://ensinoiptbr.sharepoint.com/:f:/s/ControledeAtivos/EsPwGIqbwSZKtOrott2crAYB_iS9ZhkoSuMxm62mO8ueaA?e=AYRdgN</v>
      </c>
    </row>
    <row r="110" spans="1:39" ht="57.6" x14ac:dyDescent="0.35">
      <c r="A110" s="1" t="s">
        <v>26</v>
      </c>
      <c r="B110" s="1">
        <v>3</v>
      </c>
      <c r="C110" s="1" t="s">
        <v>1195</v>
      </c>
      <c r="F110" s="1" t="s">
        <v>1196</v>
      </c>
      <c r="H110" s="1" t="s">
        <v>64</v>
      </c>
      <c r="I110" s="1" t="s">
        <v>1197</v>
      </c>
      <c r="J110" s="1" t="s">
        <v>788</v>
      </c>
      <c r="O110" s="1" t="s">
        <v>1187</v>
      </c>
      <c r="R110" s="1">
        <v>110</v>
      </c>
      <c r="V110" s="1" t="s">
        <v>1198</v>
      </c>
      <c r="AA110" s="1" t="s">
        <v>790</v>
      </c>
      <c r="AD110" s="1" t="s">
        <v>72</v>
      </c>
      <c r="AE110" s="14" t="s">
        <v>1199</v>
      </c>
      <c r="AF110" s="1" t="s">
        <v>1200</v>
      </c>
      <c r="AH110" s="1" t="s">
        <v>1194</v>
      </c>
      <c r="AI110" s="4">
        <v>44837</v>
      </c>
      <c r="AJ110" s="12" t="s">
        <v>1197</v>
      </c>
      <c r="AM110" s="66" t="str">
        <f t="shared" si="1"/>
        <v>https://ensinoiptbr.sharepoint.com/:f:/s/ControledeAtivos/EhXyC7x6tT9FsGZ8OdQj_QcB8peFFq3d4Vb2eOozO3NosA?e=u7ZXVZ</v>
      </c>
    </row>
    <row r="111" spans="1:39" ht="32.4" x14ac:dyDescent="0.35">
      <c r="A111" s="1" t="s">
        <v>26</v>
      </c>
      <c r="B111" s="1">
        <v>3</v>
      </c>
      <c r="C111" s="1" t="s">
        <v>1201</v>
      </c>
      <c r="F111" s="1" t="s">
        <v>1202</v>
      </c>
      <c r="H111" s="1" t="s">
        <v>273</v>
      </c>
      <c r="I111" s="1" t="s">
        <v>1203</v>
      </c>
      <c r="J111" s="1" t="s">
        <v>1204</v>
      </c>
      <c r="O111" s="1" t="s">
        <v>1187</v>
      </c>
      <c r="R111" s="1">
        <v>220</v>
      </c>
      <c r="T111" s="1" t="s">
        <v>1205</v>
      </c>
      <c r="V111" s="1" t="s">
        <v>1206</v>
      </c>
      <c r="AA111" s="1" t="s">
        <v>1192</v>
      </c>
      <c r="AC111" s="1" t="s">
        <v>1006</v>
      </c>
      <c r="AF111" s="1" t="s">
        <v>1207</v>
      </c>
      <c r="AH111" s="1" t="s">
        <v>1194</v>
      </c>
      <c r="AI111" s="4">
        <v>44837</v>
      </c>
      <c r="AJ111" s="12" t="s">
        <v>1203</v>
      </c>
      <c r="AM111" s="66" t="str">
        <f t="shared" si="1"/>
        <v>https://ensinoiptbr.sharepoint.com/:f:/s/ControledeAtivos/EkOFmC3TqFZIgeGA3DLrdsQBnp3rze85gomvD-svow8kog?e=VZbnnG</v>
      </c>
    </row>
    <row r="112" spans="1:39" ht="32.4" x14ac:dyDescent="0.35">
      <c r="A112" s="1" t="s">
        <v>26</v>
      </c>
      <c r="B112" s="1">
        <v>3</v>
      </c>
      <c r="C112" s="1" t="s">
        <v>1201</v>
      </c>
      <c r="F112" s="1" t="s">
        <v>1208</v>
      </c>
      <c r="H112" s="1" t="s">
        <v>273</v>
      </c>
      <c r="I112" s="1" t="s">
        <v>1209</v>
      </c>
      <c r="J112" s="1" t="s">
        <v>1210</v>
      </c>
      <c r="O112" s="1" t="s">
        <v>1187</v>
      </c>
      <c r="P112" s="1">
        <v>1000</v>
      </c>
      <c r="Q112" s="1" t="s">
        <v>321</v>
      </c>
      <c r="R112" s="1">
        <v>220</v>
      </c>
      <c r="V112" s="1" t="s">
        <v>1211</v>
      </c>
      <c r="AA112" s="1" t="s">
        <v>1212</v>
      </c>
      <c r="AB112" s="4">
        <v>37622</v>
      </c>
      <c r="AD112" s="1" t="s">
        <v>1213</v>
      </c>
      <c r="AF112" s="1" t="s">
        <v>1207</v>
      </c>
      <c r="AH112" s="1" t="s">
        <v>1194</v>
      </c>
      <c r="AI112" s="4">
        <v>44837</v>
      </c>
      <c r="AJ112" s="12" t="s">
        <v>1209</v>
      </c>
      <c r="AM112" s="66" t="str">
        <f t="shared" si="1"/>
        <v>https://ensinoiptbr.sharepoint.com/:f:/s/ControledeAtivos/Egv6YmlbFWBAhd578dRK5UYBP7KYPN1E3DfFt_CTjZr2Fw?e=ZSBIby</v>
      </c>
    </row>
    <row r="113" spans="1:39" ht="32.4" x14ac:dyDescent="0.35">
      <c r="A113" s="1" t="s">
        <v>26</v>
      </c>
      <c r="B113" s="1">
        <v>3</v>
      </c>
      <c r="C113" s="1" t="s">
        <v>1214</v>
      </c>
      <c r="F113" s="1" t="s">
        <v>1215</v>
      </c>
      <c r="H113" s="1" t="s">
        <v>464</v>
      </c>
      <c r="I113" s="1" t="s">
        <v>1216</v>
      </c>
      <c r="J113" s="1" t="s">
        <v>466</v>
      </c>
      <c r="O113" s="1" t="s">
        <v>1187</v>
      </c>
      <c r="P113" s="1">
        <v>6</v>
      </c>
      <c r="Q113" s="1" t="s">
        <v>198</v>
      </c>
      <c r="R113" s="1">
        <v>220</v>
      </c>
      <c r="V113" s="1">
        <v>42130</v>
      </c>
      <c r="W113" s="1">
        <v>1100</v>
      </c>
      <c r="X113" s="1" t="s">
        <v>996</v>
      </c>
      <c r="AA113" s="1" t="s">
        <v>1212</v>
      </c>
      <c r="AF113" s="1" t="s">
        <v>1217</v>
      </c>
      <c r="AH113" s="1" t="s">
        <v>1194</v>
      </c>
      <c r="AI113" s="4">
        <v>44838</v>
      </c>
      <c r="AJ113" s="12" t="s">
        <v>1216</v>
      </c>
      <c r="AM113" s="66" t="str">
        <f t="shared" si="1"/>
        <v>https://ensinoiptbr.sharepoint.com/:f:/s/ControledeAtivos/EvUHPvxrjQ9PtmRgM0j4M9wBpJGLP533j1auZXJTsvxsUw?e=4dFa54</v>
      </c>
    </row>
    <row r="114" spans="1:39" ht="32.4" x14ac:dyDescent="0.35">
      <c r="A114" s="1" t="s">
        <v>26</v>
      </c>
      <c r="B114" s="1">
        <v>3</v>
      </c>
      <c r="C114" s="1" t="s">
        <v>1214</v>
      </c>
      <c r="F114" s="1" t="s">
        <v>1218</v>
      </c>
      <c r="H114" s="1" t="s">
        <v>464</v>
      </c>
      <c r="I114" s="1" t="s">
        <v>1219</v>
      </c>
      <c r="J114" s="1" t="s">
        <v>1220</v>
      </c>
      <c r="O114" s="1" t="s">
        <v>1187</v>
      </c>
      <c r="P114" s="1">
        <v>6</v>
      </c>
      <c r="Q114" s="1" t="s">
        <v>198</v>
      </c>
      <c r="R114" s="1">
        <v>220</v>
      </c>
      <c r="V114" s="1" t="s">
        <v>1221</v>
      </c>
      <c r="W114" s="1">
        <v>1700</v>
      </c>
      <c r="X114" s="1" t="s">
        <v>996</v>
      </c>
      <c r="AA114" s="1" t="s">
        <v>1212</v>
      </c>
      <c r="AD114" s="1" t="s">
        <v>72</v>
      </c>
      <c r="AE114" s="14" t="s">
        <v>1222</v>
      </c>
      <c r="AF114" s="1" t="s">
        <v>1217</v>
      </c>
      <c r="AH114" s="1" t="s">
        <v>1194</v>
      </c>
      <c r="AI114" s="4">
        <v>44838</v>
      </c>
      <c r="AJ114" s="12" t="s">
        <v>1219</v>
      </c>
      <c r="AM114" s="66" t="str">
        <f t="shared" si="1"/>
        <v>https://ensinoiptbr.sharepoint.com/:f:/s/ControledeAtivos/Eh9ZWu95bv5DmKZmGbm7BtkBeGSX9E6kllpGvNrLPAqbLQ?e=00s1bC</v>
      </c>
    </row>
    <row r="115" spans="1:39" ht="32.4" x14ac:dyDescent="0.35">
      <c r="A115" s="1" t="s">
        <v>26</v>
      </c>
      <c r="B115" s="1">
        <v>3</v>
      </c>
      <c r="C115" s="1" t="s">
        <v>1214</v>
      </c>
      <c r="F115" s="1" t="s">
        <v>1223</v>
      </c>
      <c r="H115" s="1" t="s">
        <v>464</v>
      </c>
      <c r="I115" s="1" t="s">
        <v>1224</v>
      </c>
      <c r="J115" s="1" t="s">
        <v>1220</v>
      </c>
      <c r="O115" s="1" t="s">
        <v>1187</v>
      </c>
      <c r="P115" s="1">
        <v>5500</v>
      </c>
      <c r="Q115" s="1" t="s">
        <v>97</v>
      </c>
      <c r="R115" s="1">
        <v>220</v>
      </c>
      <c r="V115" s="1" t="s">
        <v>1225</v>
      </c>
      <c r="W115" s="1">
        <v>1550</v>
      </c>
      <c r="X115" s="1" t="s">
        <v>996</v>
      </c>
      <c r="AA115" s="1" t="s">
        <v>1212</v>
      </c>
      <c r="AC115" s="1" t="s">
        <v>1226</v>
      </c>
      <c r="AD115" s="1" t="s">
        <v>1213</v>
      </c>
      <c r="AF115" s="1" t="s">
        <v>1217</v>
      </c>
      <c r="AH115" s="1" t="s">
        <v>1194</v>
      </c>
      <c r="AI115" s="4">
        <v>44838</v>
      </c>
      <c r="AJ115" s="12" t="s">
        <v>1224</v>
      </c>
      <c r="AM115" s="66" t="str">
        <f t="shared" si="1"/>
        <v>https://ensinoiptbr.sharepoint.com/:f:/s/ControledeAtivos/EiJKG-jFgfhIsrzOeV726k0BYdgWUCmrC7fEEZAbqat6nA?e=KyIp1X</v>
      </c>
    </row>
    <row r="116" spans="1:39" ht="32.4" x14ac:dyDescent="0.35">
      <c r="A116" s="1" t="s">
        <v>26</v>
      </c>
      <c r="B116" s="1">
        <v>3</v>
      </c>
      <c r="C116" s="1" t="s">
        <v>1214</v>
      </c>
      <c r="F116" s="1" t="s">
        <v>1227</v>
      </c>
      <c r="H116" s="1" t="s">
        <v>464</v>
      </c>
      <c r="I116" s="1" t="s">
        <v>1228</v>
      </c>
      <c r="J116" s="1" t="s">
        <v>1229</v>
      </c>
      <c r="O116" s="1" t="s">
        <v>1187</v>
      </c>
      <c r="P116" s="1">
        <v>4</v>
      </c>
      <c r="Q116" s="1" t="s">
        <v>198</v>
      </c>
      <c r="R116" s="1">
        <v>220</v>
      </c>
      <c r="V116" s="1" t="s">
        <v>1230</v>
      </c>
      <c r="W116" s="1">
        <v>1700</v>
      </c>
      <c r="X116" s="1" t="s">
        <v>996</v>
      </c>
      <c r="AA116" s="1" t="s">
        <v>790</v>
      </c>
      <c r="AD116" s="1" t="s">
        <v>72</v>
      </c>
      <c r="AE116" s="14" t="s">
        <v>1231</v>
      </c>
      <c r="AF116" s="1" t="s">
        <v>1232</v>
      </c>
      <c r="AH116" s="1" t="s">
        <v>112</v>
      </c>
      <c r="AI116" s="4">
        <v>44838</v>
      </c>
      <c r="AJ116" s="12" t="s">
        <v>1228</v>
      </c>
      <c r="AM116" s="66" t="str">
        <f t="shared" si="1"/>
        <v>https://ensinoiptbr.sharepoint.com/:f:/s/ControledeAtivos/Em7VBnv2oeJEvw0zqC2OUaIBA9T68ZcxTUY9ITOBH2MFtw?e=L9WQRz</v>
      </c>
    </row>
    <row r="117" spans="1:39" ht="32.4" x14ac:dyDescent="0.35">
      <c r="A117" s="1" t="s">
        <v>26</v>
      </c>
      <c r="B117" s="1">
        <v>3</v>
      </c>
      <c r="C117" s="1" t="s">
        <v>1214</v>
      </c>
      <c r="F117" s="1" t="s">
        <v>1227</v>
      </c>
      <c r="H117" s="1" t="s">
        <v>464</v>
      </c>
      <c r="I117" s="1" t="s">
        <v>1233</v>
      </c>
      <c r="J117" s="1" t="s">
        <v>1229</v>
      </c>
      <c r="O117" s="1" t="s">
        <v>1187</v>
      </c>
      <c r="P117" s="1">
        <v>2.4</v>
      </c>
      <c r="Q117" s="1" t="s">
        <v>198</v>
      </c>
      <c r="R117" s="1">
        <v>220</v>
      </c>
      <c r="V117" s="1" t="s">
        <v>1234</v>
      </c>
      <c r="AA117" s="1" t="s">
        <v>790</v>
      </c>
      <c r="AC117" s="1" t="s">
        <v>1006</v>
      </c>
      <c r="AD117" s="1" t="s">
        <v>72</v>
      </c>
      <c r="AE117" s="14" t="s">
        <v>1235</v>
      </c>
      <c r="AF117" s="1" t="s">
        <v>1217</v>
      </c>
      <c r="AH117" s="1" t="s">
        <v>1194</v>
      </c>
      <c r="AI117" s="4">
        <v>44838</v>
      </c>
      <c r="AJ117" s="12" t="s">
        <v>1233</v>
      </c>
      <c r="AM117" s="66" t="str">
        <f t="shared" si="1"/>
        <v>https://ensinoiptbr.sharepoint.com/:f:/s/ControledeAtivos/ElL3cjUWUaVAndB1WfciImkBN9P0RcYx-GlqmCNbYzgilQ?e=UPWaP7</v>
      </c>
    </row>
    <row r="118" spans="1:39" ht="57.6" x14ac:dyDescent="0.35">
      <c r="A118" s="1" t="s">
        <v>26</v>
      </c>
      <c r="B118" s="1">
        <v>3</v>
      </c>
      <c r="C118" s="1" t="s">
        <v>1195</v>
      </c>
      <c r="F118" s="1" t="s">
        <v>1236</v>
      </c>
      <c r="H118" s="1" t="s">
        <v>464</v>
      </c>
      <c r="I118" s="1" t="s">
        <v>1237</v>
      </c>
      <c r="J118" s="1" t="s">
        <v>1238</v>
      </c>
      <c r="O118" s="1" t="s">
        <v>1187</v>
      </c>
      <c r="P118" s="1">
        <v>2</v>
      </c>
      <c r="Q118" s="1" t="s">
        <v>198</v>
      </c>
      <c r="R118" s="1">
        <v>220</v>
      </c>
      <c r="V118" s="1" t="s">
        <v>1239</v>
      </c>
      <c r="AA118" s="1" t="s">
        <v>1240</v>
      </c>
      <c r="AD118" s="1" t="s">
        <v>72</v>
      </c>
      <c r="AE118" s="14" t="s">
        <v>1241</v>
      </c>
      <c r="AF118" s="1" t="s">
        <v>1242</v>
      </c>
      <c r="AH118" s="1" t="s">
        <v>1194</v>
      </c>
      <c r="AI118" s="4">
        <v>44838</v>
      </c>
      <c r="AJ118" s="12" t="s">
        <v>1243</v>
      </c>
      <c r="AM118" s="66" t="str">
        <f t="shared" si="1"/>
        <v>https://ensinoiptbr.sharepoint.com/:f:/s/ControledeAtivos/En5O7DK6bvVBhV08geVBkigBYtBkFWHIVWX2WLxmSlhcvw?e=hLQQ3o</v>
      </c>
    </row>
    <row r="119" spans="1:39" ht="57.6" x14ac:dyDescent="0.35">
      <c r="A119" s="1" t="s">
        <v>26</v>
      </c>
      <c r="B119" s="1">
        <v>3</v>
      </c>
      <c r="C119" s="1" t="s">
        <v>1195</v>
      </c>
      <c r="F119" s="1" t="s">
        <v>1244</v>
      </c>
      <c r="H119" s="1" t="s">
        <v>464</v>
      </c>
      <c r="I119" s="1" t="s">
        <v>1245</v>
      </c>
      <c r="J119" s="1" t="s">
        <v>1246</v>
      </c>
      <c r="O119" s="1" t="s">
        <v>1187</v>
      </c>
      <c r="P119" s="1">
        <v>1.5</v>
      </c>
      <c r="Q119" s="1" t="s">
        <v>198</v>
      </c>
      <c r="R119" s="1">
        <v>230</v>
      </c>
      <c r="V119" s="1" t="s">
        <v>1247</v>
      </c>
      <c r="AA119" s="1" t="s">
        <v>1248</v>
      </c>
      <c r="AD119" s="1" t="s">
        <v>72</v>
      </c>
      <c r="AE119" s="14" t="s">
        <v>1249</v>
      </c>
      <c r="AF119" s="1" t="s">
        <v>1242</v>
      </c>
      <c r="AH119" s="1" t="s">
        <v>1194</v>
      </c>
      <c r="AI119" s="4">
        <v>44838</v>
      </c>
      <c r="AJ119" s="12" t="s">
        <v>1250</v>
      </c>
      <c r="AM119" s="66" t="str">
        <f t="shared" si="1"/>
        <v>https://ensinoiptbr.sharepoint.com/:f:/s/ControledeAtivos/Ep1uUFer545Eo038dSTUatQBcDZXlBn7R3xRLMlEFqWWFw?e=qh0pEg</v>
      </c>
    </row>
    <row r="120" spans="1:39" ht="57.6" x14ac:dyDescent="0.35">
      <c r="A120" s="1" t="s">
        <v>26</v>
      </c>
      <c r="B120" s="1">
        <v>3</v>
      </c>
      <c r="C120" s="1" t="s">
        <v>1195</v>
      </c>
      <c r="F120" s="1" t="s">
        <v>1251</v>
      </c>
      <c r="H120" s="1" t="s">
        <v>464</v>
      </c>
      <c r="I120" s="1" t="s">
        <v>1252</v>
      </c>
      <c r="J120" s="1" t="s">
        <v>1253</v>
      </c>
      <c r="O120" s="1" t="s">
        <v>1187</v>
      </c>
      <c r="P120" s="1">
        <v>2</v>
      </c>
      <c r="Q120" s="1" t="s">
        <v>198</v>
      </c>
      <c r="R120" s="1">
        <v>220</v>
      </c>
      <c r="V120" s="1">
        <v>502</v>
      </c>
      <c r="AA120" s="1" t="s">
        <v>1212</v>
      </c>
      <c r="AD120" s="1" t="s">
        <v>72</v>
      </c>
      <c r="AE120" s="14" t="s">
        <v>1254</v>
      </c>
      <c r="AF120" s="1" t="s">
        <v>1242</v>
      </c>
      <c r="AH120" s="1" t="s">
        <v>1194</v>
      </c>
      <c r="AI120" s="4">
        <v>44838</v>
      </c>
      <c r="AJ120" s="12" t="s">
        <v>1255</v>
      </c>
      <c r="AM120" s="66" t="str">
        <f t="shared" si="1"/>
        <v>https://ensinoiptbr.sharepoint.com/:f:/s/ControledeAtivos/Eh2R_auM8HNEqScg1eEz-ocBRQIpu46xCNovwBYm_hmrTw?e=VYumpg</v>
      </c>
    </row>
    <row r="121" spans="1:39" ht="43.2" x14ac:dyDescent="0.35">
      <c r="A121" s="1" t="s">
        <v>26</v>
      </c>
      <c r="B121" s="1">
        <v>3</v>
      </c>
      <c r="C121" s="1" t="s">
        <v>1201</v>
      </c>
      <c r="F121" s="1" t="s">
        <v>1256</v>
      </c>
      <c r="H121" s="1" t="s">
        <v>1257</v>
      </c>
      <c r="I121" s="1" t="s">
        <v>1258</v>
      </c>
      <c r="J121" s="1" t="s">
        <v>1259</v>
      </c>
      <c r="O121" s="1" t="s">
        <v>1260</v>
      </c>
      <c r="P121" s="1">
        <v>3</v>
      </c>
      <c r="Q121" s="1" t="s">
        <v>198</v>
      </c>
      <c r="R121" s="1">
        <v>220</v>
      </c>
      <c r="U121" s="1" t="s">
        <v>1261</v>
      </c>
      <c r="V121" s="1" t="s">
        <v>1262</v>
      </c>
      <c r="AA121" s="1" t="s">
        <v>790</v>
      </c>
      <c r="AB121" s="4">
        <v>36892</v>
      </c>
      <c r="AD121" s="1" t="s">
        <v>72</v>
      </c>
      <c r="AE121" s="14" t="s">
        <v>1263</v>
      </c>
      <c r="AF121" s="1" t="s">
        <v>1264</v>
      </c>
      <c r="AH121" s="1" t="s">
        <v>112</v>
      </c>
      <c r="AI121" s="4">
        <v>44837</v>
      </c>
      <c r="AJ121" s="12" t="s">
        <v>1258</v>
      </c>
      <c r="AM121" s="66" t="str">
        <f t="shared" si="1"/>
        <v>https://ensinoiptbr.sharepoint.com/:f:/s/ControledeAtivos/Eu6PEuBlXudHoOuKh134_HYBT-vQlkJiwmw_RJ21J4efJA?e=ioELIp</v>
      </c>
    </row>
    <row r="122" spans="1:39" ht="32.4" x14ac:dyDescent="0.35">
      <c r="A122" s="1" t="s">
        <v>26</v>
      </c>
      <c r="B122" s="1">
        <v>3</v>
      </c>
      <c r="C122" s="1" t="s">
        <v>1214</v>
      </c>
      <c r="F122" s="1" t="s">
        <v>1265</v>
      </c>
      <c r="H122" s="1" t="s">
        <v>1266</v>
      </c>
      <c r="I122" s="1" t="s">
        <v>1267</v>
      </c>
      <c r="J122" s="1" t="s">
        <v>1268</v>
      </c>
      <c r="O122" s="1" t="s">
        <v>1187</v>
      </c>
      <c r="P122" s="1">
        <v>7.5</v>
      </c>
      <c r="Q122" s="1" t="s">
        <v>198</v>
      </c>
      <c r="R122" s="1">
        <v>220</v>
      </c>
      <c r="V122" s="1" t="s">
        <v>1269</v>
      </c>
      <c r="AA122" s="1" t="s">
        <v>790</v>
      </c>
      <c r="AD122" s="1" t="s">
        <v>72</v>
      </c>
      <c r="AE122" s="14" t="s">
        <v>1270</v>
      </c>
      <c r="AF122" s="1" t="s">
        <v>1271</v>
      </c>
      <c r="AH122" s="1" t="s">
        <v>1272</v>
      </c>
      <c r="AI122" s="4">
        <v>44838</v>
      </c>
      <c r="AJ122" s="12" t="s">
        <v>1267</v>
      </c>
      <c r="AM122" s="66" t="str">
        <f t="shared" si="1"/>
        <v>https://ensinoiptbr.sharepoint.com/:f:/s/ControledeAtivos/ErHMT8guPQBOtHmVNCxkO7ABX3AmxXcHhd6nzZg0KrywsQ?e=9vSPx8</v>
      </c>
    </row>
    <row r="123" spans="1:39" ht="57.6" x14ac:dyDescent="0.35">
      <c r="A123" s="1" t="s">
        <v>26</v>
      </c>
      <c r="B123" s="1">
        <v>3</v>
      </c>
      <c r="C123" s="1" t="s">
        <v>1195</v>
      </c>
      <c r="F123" s="1" t="s">
        <v>1273</v>
      </c>
      <c r="H123" s="1" t="s">
        <v>1266</v>
      </c>
      <c r="I123" s="1" t="s">
        <v>1274</v>
      </c>
      <c r="J123" s="1" t="s">
        <v>1275</v>
      </c>
      <c r="O123" s="1" t="s">
        <v>1187</v>
      </c>
      <c r="P123" s="1">
        <v>35</v>
      </c>
      <c r="Q123" s="1" t="s">
        <v>33</v>
      </c>
      <c r="R123" s="1">
        <v>110</v>
      </c>
      <c r="S123" s="1">
        <v>380</v>
      </c>
      <c r="U123" s="1" t="s">
        <v>1276</v>
      </c>
      <c r="V123" s="1" t="s">
        <v>1277</v>
      </c>
      <c r="AA123" s="1" t="s">
        <v>1278</v>
      </c>
      <c r="AB123" s="4">
        <v>34700</v>
      </c>
      <c r="AD123" s="1" t="s">
        <v>72</v>
      </c>
      <c r="AE123" s="14" t="s">
        <v>1279</v>
      </c>
      <c r="AF123" s="1" t="s">
        <v>1280</v>
      </c>
      <c r="AH123" s="1" t="s">
        <v>1194</v>
      </c>
      <c r="AI123" s="4">
        <v>44837</v>
      </c>
      <c r="AJ123" s="12" t="s">
        <v>1274</v>
      </c>
      <c r="AM123" s="66" t="str">
        <f t="shared" si="1"/>
        <v>https://ensinoiptbr.sharepoint.com/:f:/s/ControledeAtivos/EsZ0S8xeEgRBvUVgrECvY00BRB4AFyeHV1U6iZPlB5DE1g?e=92ySPk</v>
      </c>
    </row>
    <row r="124" spans="1:39" ht="28.8" x14ac:dyDescent="0.35">
      <c r="A124" s="1" t="s">
        <v>26</v>
      </c>
      <c r="B124" s="1">
        <v>3</v>
      </c>
      <c r="C124" s="1" t="s">
        <v>1756</v>
      </c>
      <c r="F124" s="1" t="s">
        <v>1757</v>
      </c>
      <c r="H124" s="1" t="s">
        <v>464</v>
      </c>
      <c r="I124" s="1" t="s">
        <v>1243</v>
      </c>
      <c r="J124" s="1" t="s">
        <v>1758</v>
      </c>
      <c r="O124" s="1" t="s">
        <v>234</v>
      </c>
      <c r="P124" s="1">
        <v>15000</v>
      </c>
      <c r="Q124" s="1" t="s">
        <v>97</v>
      </c>
      <c r="R124" s="1">
        <v>220</v>
      </c>
      <c r="V124" s="1" t="s">
        <v>1759</v>
      </c>
      <c r="AA124" s="1" t="s">
        <v>807</v>
      </c>
      <c r="AE124" s="14" t="s">
        <v>1760</v>
      </c>
      <c r="AF124" s="1" t="s">
        <v>1761</v>
      </c>
      <c r="AM124" s="66" t="str">
        <f t="shared" si="1"/>
        <v/>
      </c>
    </row>
    <row r="125" spans="1:39" ht="16.2" x14ac:dyDescent="0.35">
      <c r="A125" s="1" t="s">
        <v>26</v>
      </c>
      <c r="B125" s="1">
        <v>3</v>
      </c>
      <c r="C125" s="1" t="s">
        <v>1214</v>
      </c>
      <c r="F125" s="1" t="s">
        <v>491</v>
      </c>
      <c r="H125" s="1" t="s">
        <v>491</v>
      </c>
      <c r="I125" s="1" t="s">
        <v>1762</v>
      </c>
      <c r="J125" s="1" t="s">
        <v>1763</v>
      </c>
      <c r="O125" s="1" t="s">
        <v>234</v>
      </c>
      <c r="P125" s="1">
        <v>3600</v>
      </c>
      <c r="Q125" s="1" t="s">
        <v>97</v>
      </c>
      <c r="R125" s="1">
        <v>220</v>
      </c>
      <c r="V125" s="1">
        <v>119</v>
      </c>
      <c r="AA125" s="1" t="s">
        <v>1212</v>
      </c>
      <c r="AE125" s="14">
        <v>11139</v>
      </c>
      <c r="AF125" s="1" t="s">
        <v>507</v>
      </c>
      <c r="AH125" s="1" t="s">
        <v>1194</v>
      </c>
      <c r="AM125" s="66" t="str">
        <f t="shared" si="1"/>
        <v/>
      </c>
    </row>
    <row r="126" spans="1:39" ht="28.8" x14ac:dyDescent="0.35">
      <c r="A126" s="1" t="s">
        <v>26</v>
      </c>
      <c r="B126" s="1">
        <v>3</v>
      </c>
      <c r="C126" s="1" t="s">
        <v>1214</v>
      </c>
      <c r="F126" s="1" t="s">
        <v>1764</v>
      </c>
      <c r="H126" s="1" t="s">
        <v>464</v>
      </c>
      <c r="I126" s="1" t="s">
        <v>1765</v>
      </c>
      <c r="J126" s="1" t="s">
        <v>1766</v>
      </c>
      <c r="O126" s="1" t="s">
        <v>234</v>
      </c>
      <c r="P126" s="1">
        <v>2400</v>
      </c>
      <c r="Q126" s="1" t="s">
        <v>97</v>
      </c>
      <c r="R126" s="1">
        <v>220</v>
      </c>
      <c r="V126" s="1" t="s">
        <v>1767</v>
      </c>
      <c r="AA126" s="1" t="s">
        <v>1192</v>
      </c>
      <c r="AF126" s="1" t="s">
        <v>1768</v>
      </c>
      <c r="AH126" s="1" t="s">
        <v>1272</v>
      </c>
      <c r="AM126" s="66" t="str">
        <f t="shared" si="1"/>
        <v/>
      </c>
    </row>
    <row r="127" spans="1:39" ht="57.6" x14ac:dyDescent="0.35">
      <c r="A127" s="1" t="s">
        <v>26</v>
      </c>
      <c r="B127" s="1">
        <v>3</v>
      </c>
      <c r="C127" s="1" t="s">
        <v>1195</v>
      </c>
      <c r="F127" s="1" t="s">
        <v>1769</v>
      </c>
      <c r="H127" s="1" t="s">
        <v>464</v>
      </c>
      <c r="I127" s="1" t="s">
        <v>1770</v>
      </c>
      <c r="J127" s="1" t="s">
        <v>1576</v>
      </c>
      <c r="O127" s="1" t="s">
        <v>234</v>
      </c>
      <c r="P127" s="1">
        <v>2000</v>
      </c>
      <c r="Q127" s="1" t="s">
        <v>97</v>
      </c>
      <c r="R127" s="1">
        <v>220</v>
      </c>
      <c r="V127" s="1" t="s">
        <v>1771</v>
      </c>
      <c r="AA127" s="1" t="s">
        <v>1212</v>
      </c>
      <c r="AB127" s="4">
        <v>41640</v>
      </c>
      <c r="AE127" s="14" t="s">
        <v>1772</v>
      </c>
      <c r="AF127" s="1" t="s">
        <v>1773</v>
      </c>
      <c r="AH127" s="1" t="s">
        <v>1194</v>
      </c>
      <c r="AM127" s="66" t="str">
        <f t="shared" si="1"/>
        <v/>
      </c>
    </row>
    <row r="128" spans="1:39" ht="57.6" x14ac:dyDescent="0.35">
      <c r="A128" s="1" t="s">
        <v>26</v>
      </c>
      <c r="B128" s="1">
        <v>3</v>
      </c>
      <c r="C128" s="1" t="s">
        <v>1195</v>
      </c>
      <c r="F128" s="1" t="s">
        <v>1457</v>
      </c>
      <c r="H128" s="1" t="s">
        <v>491</v>
      </c>
      <c r="I128" s="1" t="s">
        <v>1774</v>
      </c>
      <c r="J128" s="1" t="s">
        <v>1450</v>
      </c>
      <c r="O128" s="1" t="s">
        <v>234</v>
      </c>
      <c r="P128" s="1">
        <v>1580</v>
      </c>
      <c r="Q128" s="1" t="s">
        <v>97</v>
      </c>
      <c r="R128" s="1">
        <v>220</v>
      </c>
      <c r="V128" s="1" t="s">
        <v>1775</v>
      </c>
      <c r="AA128" s="1" t="s">
        <v>1212</v>
      </c>
      <c r="AE128" s="14" t="s">
        <v>1776</v>
      </c>
      <c r="AF128" s="1" t="s">
        <v>1777</v>
      </c>
      <c r="AH128" s="1" t="s">
        <v>1194</v>
      </c>
      <c r="AM128" s="66" t="str">
        <f t="shared" si="1"/>
        <v/>
      </c>
    </row>
    <row r="129" spans="1:39" ht="57.6" x14ac:dyDescent="0.35">
      <c r="A129" s="1" t="s">
        <v>26</v>
      </c>
      <c r="B129" s="1">
        <v>3</v>
      </c>
      <c r="C129" s="1" t="s">
        <v>1195</v>
      </c>
      <c r="F129" s="1" t="s">
        <v>1778</v>
      </c>
      <c r="H129" s="1" t="s">
        <v>1047</v>
      </c>
      <c r="I129" s="1" t="s">
        <v>1779</v>
      </c>
      <c r="J129" s="1" t="s">
        <v>1049</v>
      </c>
      <c r="O129" s="1" t="s">
        <v>234</v>
      </c>
      <c r="P129" s="1">
        <v>1200</v>
      </c>
      <c r="Q129" s="1" t="s">
        <v>97</v>
      </c>
      <c r="R129" s="1">
        <v>115</v>
      </c>
      <c r="V129" s="1">
        <v>550</v>
      </c>
      <c r="AA129" s="1" t="s">
        <v>1212</v>
      </c>
      <c r="AE129" s="14" t="s">
        <v>1780</v>
      </c>
      <c r="AF129" s="1" t="s">
        <v>1781</v>
      </c>
      <c r="AH129" s="1" t="s">
        <v>1194</v>
      </c>
      <c r="AM129" s="66" t="str">
        <f t="shared" si="1"/>
        <v/>
      </c>
    </row>
    <row r="130" spans="1:39" ht="57.6" x14ac:dyDescent="0.35">
      <c r="A130" s="1" t="s">
        <v>26</v>
      </c>
      <c r="B130" s="1">
        <v>3</v>
      </c>
      <c r="C130" s="1" t="s">
        <v>1195</v>
      </c>
      <c r="F130" s="1" t="s">
        <v>1782</v>
      </c>
      <c r="H130" s="1" t="s">
        <v>64</v>
      </c>
      <c r="I130" s="1" t="s">
        <v>1783</v>
      </c>
      <c r="J130" s="1" t="s">
        <v>811</v>
      </c>
      <c r="O130" s="1" t="s">
        <v>234</v>
      </c>
      <c r="P130" s="1">
        <v>800</v>
      </c>
      <c r="Q130" s="1" t="s">
        <v>97</v>
      </c>
      <c r="R130" s="1">
        <v>220</v>
      </c>
      <c r="V130" s="1" t="s">
        <v>1782</v>
      </c>
      <c r="AA130" s="1" t="s">
        <v>1192</v>
      </c>
      <c r="AF130" s="1" t="s">
        <v>1784</v>
      </c>
      <c r="AH130" s="1" t="s">
        <v>1194</v>
      </c>
      <c r="AM130" s="66" t="str">
        <f t="shared" si="1"/>
        <v/>
      </c>
    </row>
    <row r="131" spans="1:39" ht="57.6" x14ac:dyDescent="0.35">
      <c r="A131" s="1" t="s">
        <v>26</v>
      </c>
      <c r="B131" s="1">
        <v>3</v>
      </c>
      <c r="C131" s="1" t="s">
        <v>1195</v>
      </c>
      <c r="F131" s="1" t="s">
        <v>1785</v>
      </c>
      <c r="H131" s="1" t="s">
        <v>1371</v>
      </c>
      <c r="I131" s="1" t="s">
        <v>1786</v>
      </c>
      <c r="J131" s="1" t="s">
        <v>1787</v>
      </c>
      <c r="O131" s="1" t="s">
        <v>234</v>
      </c>
      <c r="P131" s="1">
        <v>415</v>
      </c>
      <c r="Q131" s="1" t="s">
        <v>97</v>
      </c>
      <c r="R131" s="1">
        <v>220</v>
      </c>
      <c r="V131" s="1" t="s">
        <v>1788</v>
      </c>
      <c r="AA131" s="1" t="s">
        <v>790</v>
      </c>
      <c r="AE131" s="14" t="s">
        <v>1789</v>
      </c>
      <c r="AF131" s="1" t="s">
        <v>1790</v>
      </c>
      <c r="AH131" s="1" t="s">
        <v>1194</v>
      </c>
      <c r="AM131" s="66" t="str">
        <f t="shared" ref="AM131:AM194" si="2">ExtrairCaminhoHiperlink(AJ131)</f>
        <v/>
      </c>
    </row>
    <row r="132" spans="1:39" ht="57.6" x14ac:dyDescent="0.35">
      <c r="A132" s="1" t="s">
        <v>26</v>
      </c>
      <c r="B132" s="1">
        <v>3</v>
      </c>
      <c r="C132" s="1" t="s">
        <v>1195</v>
      </c>
      <c r="F132" s="1" t="s">
        <v>1791</v>
      </c>
      <c r="H132" s="1" t="s">
        <v>64</v>
      </c>
      <c r="I132" s="1" t="s">
        <v>1792</v>
      </c>
      <c r="J132" s="1" t="s">
        <v>811</v>
      </c>
      <c r="O132" s="1" t="s">
        <v>234</v>
      </c>
      <c r="P132" s="1">
        <v>400</v>
      </c>
      <c r="Q132" s="1" t="s">
        <v>97</v>
      </c>
      <c r="R132" s="1">
        <v>110</v>
      </c>
      <c r="V132" s="1" t="s">
        <v>1791</v>
      </c>
      <c r="AA132" s="1" t="s">
        <v>1192</v>
      </c>
      <c r="AE132" s="14" t="s">
        <v>1793</v>
      </c>
      <c r="AF132" s="1" t="s">
        <v>1784</v>
      </c>
      <c r="AH132" s="1" t="s">
        <v>1194</v>
      </c>
      <c r="AM132" s="66" t="str">
        <f t="shared" si="2"/>
        <v/>
      </c>
    </row>
    <row r="133" spans="1:39" ht="57.6" x14ac:dyDescent="0.35">
      <c r="A133" s="1" t="s">
        <v>26</v>
      </c>
      <c r="B133" s="1">
        <v>3</v>
      </c>
      <c r="C133" s="1" t="s">
        <v>1195</v>
      </c>
      <c r="F133" s="1" t="s">
        <v>335</v>
      </c>
      <c r="H133" s="1" t="s">
        <v>335</v>
      </c>
      <c r="I133" s="1" t="s">
        <v>1794</v>
      </c>
      <c r="J133" s="1" t="s">
        <v>1795</v>
      </c>
      <c r="O133" s="1" t="s">
        <v>234</v>
      </c>
      <c r="P133" s="1">
        <v>250</v>
      </c>
      <c r="Q133" s="1" t="s">
        <v>97</v>
      </c>
      <c r="R133" s="1">
        <v>220</v>
      </c>
      <c r="V133" s="1">
        <v>105</v>
      </c>
      <c r="AA133" s="1" t="s">
        <v>1212</v>
      </c>
      <c r="AE133" s="14" t="s">
        <v>1796</v>
      </c>
      <c r="AF133" s="1" t="s">
        <v>1797</v>
      </c>
      <c r="AH133" s="1" t="s">
        <v>1194</v>
      </c>
      <c r="AM133" s="66" t="str">
        <f t="shared" si="2"/>
        <v/>
      </c>
    </row>
    <row r="134" spans="1:39" ht="57.6" x14ac:dyDescent="0.35">
      <c r="A134" s="1" t="s">
        <v>26</v>
      </c>
      <c r="B134" s="1">
        <v>3</v>
      </c>
      <c r="C134" s="1" t="s">
        <v>1195</v>
      </c>
      <c r="F134" s="1" t="s">
        <v>1798</v>
      </c>
      <c r="H134" s="1" t="s">
        <v>64</v>
      </c>
      <c r="I134" s="1" t="s">
        <v>1799</v>
      </c>
      <c r="J134" s="1" t="s">
        <v>126</v>
      </c>
      <c r="O134" s="1" t="s">
        <v>234</v>
      </c>
      <c r="P134" s="1">
        <v>180</v>
      </c>
      <c r="Q134" s="1" t="s">
        <v>97</v>
      </c>
      <c r="R134" s="1">
        <v>220</v>
      </c>
      <c r="V134" s="1" t="s">
        <v>1800</v>
      </c>
      <c r="AA134" s="1" t="s">
        <v>1212</v>
      </c>
      <c r="AF134" s="1" t="s">
        <v>1801</v>
      </c>
      <c r="AH134" s="1" t="s">
        <v>1194</v>
      </c>
      <c r="AM134" s="66" t="str">
        <f t="shared" si="2"/>
        <v/>
      </c>
    </row>
    <row r="135" spans="1:39" ht="43.2" x14ac:dyDescent="0.35">
      <c r="A135" s="1" t="s">
        <v>26</v>
      </c>
      <c r="B135" s="1">
        <v>3</v>
      </c>
      <c r="C135" s="1" t="s">
        <v>1802</v>
      </c>
      <c r="F135" s="1" t="s">
        <v>1803</v>
      </c>
      <c r="H135" s="1" t="s">
        <v>464</v>
      </c>
      <c r="I135" s="1" t="s">
        <v>1804</v>
      </c>
      <c r="J135" s="1" t="s">
        <v>1805</v>
      </c>
      <c r="O135" s="1" t="s">
        <v>234</v>
      </c>
      <c r="P135" s="1">
        <v>105</v>
      </c>
      <c r="Q135" s="1" t="s">
        <v>33</v>
      </c>
      <c r="R135" s="1">
        <v>380</v>
      </c>
      <c r="AA135" s="1" t="s">
        <v>1248</v>
      </c>
      <c r="AB135" s="4">
        <v>32874</v>
      </c>
      <c r="AE135" s="14" t="s">
        <v>1806</v>
      </c>
      <c r="AF135" s="1" t="s">
        <v>1807</v>
      </c>
      <c r="AH135" s="1" t="s">
        <v>1194</v>
      </c>
      <c r="AM135" s="66" t="str">
        <f t="shared" si="2"/>
        <v/>
      </c>
    </row>
    <row r="136" spans="1:39" ht="28.8" x14ac:dyDescent="0.35">
      <c r="A136" s="1" t="s">
        <v>26</v>
      </c>
      <c r="B136" s="1">
        <v>3</v>
      </c>
      <c r="C136" s="1" t="s">
        <v>1808</v>
      </c>
      <c r="F136" s="1" t="s">
        <v>421</v>
      </c>
      <c r="H136" s="1" t="s">
        <v>385</v>
      </c>
      <c r="I136" s="1" t="s">
        <v>1809</v>
      </c>
      <c r="J136" s="1" t="s">
        <v>1229</v>
      </c>
      <c r="O136" s="1" t="s">
        <v>234</v>
      </c>
      <c r="P136" s="1">
        <v>100</v>
      </c>
      <c r="Q136" s="1" t="s">
        <v>97</v>
      </c>
      <c r="R136" s="1">
        <v>220</v>
      </c>
      <c r="V136" s="1" t="s">
        <v>1810</v>
      </c>
      <c r="AA136" s="1" t="s">
        <v>790</v>
      </c>
      <c r="AE136" s="14" t="s">
        <v>1811</v>
      </c>
      <c r="AF136" s="1" t="s">
        <v>1366</v>
      </c>
      <c r="AH136" s="1" t="s">
        <v>1194</v>
      </c>
      <c r="AM136" s="66" t="str">
        <f t="shared" si="2"/>
        <v/>
      </c>
    </row>
    <row r="137" spans="1:39" ht="57.6" x14ac:dyDescent="0.35">
      <c r="A137" s="1" t="s">
        <v>26</v>
      </c>
      <c r="B137" s="1">
        <v>3</v>
      </c>
      <c r="C137" s="1" t="s">
        <v>1195</v>
      </c>
      <c r="F137" s="1" t="s">
        <v>1812</v>
      </c>
      <c r="H137" s="1" t="s">
        <v>64</v>
      </c>
      <c r="I137" s="1" t="s">
        <v>1813</v>
      </c>
      <c r="J137" s="1" t="s">
        <v>811</v>
      </c>
      <c r="O137" s="1" t="s">
        <v>234</v>
      </c>
      <c r="P137" s="1">
        <v>100</v>
      </c>
      <c r="Q137" s="1" t="s">
        <v>97</v>
      </c>
      <c r="R137" s="1">
        <v>115</v>
      </c>
      <c r="S137" s="1">
        <v>230</v>
      </c>
      <c r="V137" s="1" t="s">
        <v>1812</v>
      </c>
      <c r="AA137" s="1" t="s">
        <v>1192</v>
      </c>
      <c r="AF137" s="1" t="s">
        <v>1814</v>
      </c>
      <c r="AH137" s="1" t="s">
        <v>1194</v>
      </c>
      <c r="AM137" s="66" t="str">
        <f t="shared" si="2"/>
        <v/>
      </c>
    </row>
    <row r="138" spans="1:39" ht="57.6" x14ac:dyDescent="0.35">
      <c r="A138" s="1" t="s">
        <v>26</v>
      </c>
      <c r="B138" s="1">
        <v>3</v>
      </c>
      <c r="C138" s="1" t="s">
        <v>1195</v>
      </c>
      <c r="F138" s="1" t="s">
        <v>1815</v>
      </c>
      <c r="H138" s="1" t="s">
        <v>162</v>
      </c>
      <c r="I138" s="1" t="s">
        <v>1816</v>
      </c>
      <c r="J138" s="1" t="s">
        <v>1817</v>
      </c>
      <c r="O138" s="1" t="s">
        <v>234</v>
      </c>
      <c r="P138" s="1">
        <v>100</v>
      </c>
      <c r="Q138" s="1" t="s">
        <v>97</v>
      </c>
      <c r="R138" s="1">
        <v>220</v>
      </c>
      <c r="V138" s="1" t="s">
        <v>1818</v>
      </c>
      <c r="AA138" s="1" t="s">
        <v>1248</v>
      </c>
      <c r="AE138" s="14">
        <v>40303</v>
      </c>
      <c r="AF138" s="1" t="s">
        <v>1819</v>
      </c>
      <c r="AH138" s="1" t="s">
        <v>1194</v>
      </c>
      <c r="AM138" s="66" t="str">
        <f t="shared" si="2"/>
        <v/>
      </c>
    </row>
    <row r="139" spans="1:39" ht="57.6" x14ac:dyDescent="0.35">
      <c r="A139" s="1" t="s">
        <v>26</v>
      </c>
      <c r="B139" s="1">
        <v>3</v>
      </c>
      <c r="C139" s="1" t="s">
        <v>1195</v>
      </c>
      <c r="F139" s="1" t="s">
        <v>1815</v>
      </c>
      <c r="H139" s="1" t="s">
        <v>162</v>
      </c>
      <c r="I139" s="1" t="s">
        <v>1820</v>
      </c>
      <c r="J139" s="1" t="s">
        <v>1821</v>
      </c>
      <c r="O139" s="1" t="s">
        <v>234</v>
      </c>
      <c r="P139" s="1">
        <v>100</v>
      </c>
      <c r="Q139" s="1" t="s">
        <v>97</v>
      </c>
      <c r="R139" s="1">
        <v>110</v>
      </c>
      <c r="V139" s="1" t="s">
        <v>1822</v>
      </c>
      <c r="AA139" s="1" t="s">
        <v>1248</v>
      </c>
      <c r="AF139" s="1" t="s">
        <v>1819</v>
      </c>
      <c r="AH139" s="1" t="s">
        <v>1194</v>
      </c>
      <c r="AM139" s="66" t="str">
        <f t="shared" si="2"/>
        <v/>
      </c>
    </row>
    <row r="140" spans="1:39" ht="57.6" x14ac:dyDescent="0.35">
      <c r="A140" s="1" t="s">
        <v>26</v>
      </c>
      <c r="B140" s="1">
        <v>3</v>
      </c>
      <c r="C140" s="1" t="s">
        <v>1195</v>
      </c>
      <c r="F140" s="1" t="s">
        <v>1815</v>
      </c>
      <c r="H140" s="1" t="s">
        <v>162</v>
      </c>
      <c r="I140" s="1" t="s">
        <v>1823</v>
      </c>
      <c r="J140" s="1" t="s">
        <v>1615</v>
      </c>
      <c r="O140" s="1" t="s">
        <v>234</v>
      </c>
      <c r="P140" s="1">
        <v>100</v>
      </c>
      <c r="Q140" s="1" t="s">
        <v>97</v>
      </c>
      <c r="R140" s="1">
        <v>110</v>
      </c>
      <c r="V140" s="1" t="s">
        <v>1824</v>
      </c>
      <c r="AA140" s="1" t="s">
        <v>1192</v>
      </c>
      <c r="AE140" s="14" t="s">
        <v>1825</v>
      </c>
      <c r="AF140" s="1" t="s">
        <v>1819</v>
      </c>
      <c r="AH140" s="1" t="s">
        <v>1194</v>
      </c>
      <c r="AM140" s="66" t="str">
        <f t="shared" si="2"/>
        <v/>
      </c>
    </row>
    <row r="141" spans="1:39" ht="57.6" x14ac:dyDescent="0.35">
      <c r="A141" s="1" t="s">
        <v>26</v>
      </c>
      <c r="B141" s="1">
        <v>3</v>
      </c>
      <c r="C141" s="1" t="s">
        <v>1826</v>
      </c>
      <c r="F141" s="1" t="s">
        <v>1827</v>
      </c>
      <c r="H141" s="1" t="s">
        <v>464</v>
      </c>
      <c r="I141" s="1" t="s">
        <v>1250</v>
      </c>
      <c r="J141" s="1" t="s">
        <v>1828</v>
      </c>
      <c r="O141" s="1" t="s">
        <v>234</v>
      </c>
      <c r="P141" s="1">
        <v>80</v>
      </c>
      <c r="Q141" s="1" t="s">
        <v>33</v>
      </c>
      <c r="R141" s="1">
        <v>484</v>
      </c>
      <c r="V141" s="1" t="s">
        <v>1829</v>
      </c>
      <c r="AA141" s="1" t="s">
        <v>1248</v>
      </c>
      <c r="AB141" s="4">
        <v>2011</v>
      </c>
      <c r="AC141" s="1" t="s">
        <v>1830</v>
      </c>
      <c r="AE141" s="14">
        <v>17179</v>
      </c>
      <c r="AF141" s="1" t="s">
        <v>1831</v>
      </c>
      <c r="AH141" s="1" t="s">
        <v>1194</v>
      </c>
      <c r="AM141" s="66" t="str">
        <f t="shared" si="2"/>
        <v/>
      </c>
    </row>
    <row r="142" spans="1:39" ht="72" x14ac:dyDescent="0.35">
      <c r="A142" s="1" t="s">
        <v>26</v>
      </c>
      <c r="B142" s="1">
        <v>3</v>
      </c>
      <c r="C142" s="1" t="s">
        <v>1832</v>
      </c>
      <c r="F142" s="1" t="s">
        <v>1833</v>
      </c>
      <c r="H142" s="1" t="s">
        <v>464</v>
      </c>
      <c r="I142" s="1" t="s">
        <v>1255</v>
      </c>
      <c r="J142" s="1" t="s">
        <v>1834</v>
      </c>
      <c r="O142" s="1" t="s">
        <v>234</v>
      </c>
      <c r="P142" s="1">
        <v>75</v>
      </c>
      <c r="Q142" s="1" t="s">
        <v>33</v>
      </c>
      <c r="R142" s="1">
        <v>220</v>
      </c>
      <c r="V142" s="1" t="s">
        <v>1835</v>
      </c>
      <c r="AA142" s="1" t="s">
        <v>790</v>
      </c>
      <c r="AB142" s="4">
        <v>34335</v>
      </c>
      <c r="AE142" s="14" t="s">
        <v>1836</v>
      </c>
      <c r="AF142" s="1" t="s">
        <v>1837</v>
      </c>
      <c r="AH142" s="1" t="s">
        <v>1194</v>
      </c>
      <c r="AM142" s="66" t="str">
        <f t="shared" si="2"/>
        <v/>
      </c>
    </row>
    <row r="143" spans="1:39" ht="43.2" x14ac:dyDescent="0.35">
      <c r="A143" s="1" t="s">
        <v>26</v>
      </c>
      <c r="B143" s="1">
        <v>3</v>
      </c>
      <c r="C143" s="1" t="s">
        <v>1838</v>
      </c>
      <c r="F143" s="1" t="s">
        <v>1839</v>
      </c>
      <c r="H143" s="1" t="s">
        <v>750</v>
      </c>
      <c r="I143" s="1" t="s">
        <v>1840</v>
      </c>
      <c r="J143" s="1" t="s">
        <v>1841</v>
      </c>
      <c r="O143" s="1" t="s">
        <v>234</v>
      </c>
      <c r="P143" s="1">
        <v>15</v>
      </c>
      <c r="Q143" s="1" t="s">
        <v>198</v>
      </c>
      <c r="R143" s="1">
        <v>400</v>
      </c>
      <c r="V143" s="1" t="s">
        <v>1842</v>
      </c>
      <c r="AA143" s="1" t="s">
        <v>1843</v>
      </c>
      <c r="AB143" s="4">
        <v>40909</v>
      </c>
      <c r="AC143" s="1" t="s">
        <v>1830</v>
      </c>
      <c r="AE143" s="14">
        <v>13827</v>
      </c>
      <c r="AF143" s="1" t="s">
        <v>1844</v>
      </c>
      <c r="AH143" s="1" t="s">
        <v>1845</v>
      </c>
      <c r="AM143" s="66" t="str">
        <f t="shared" si="2"/>
        <v/>
      </c>
    </row>
    <row r="144" spans="1:39" ht="16.2" x14ac:dyDescent="0.35">
      <c r="A144" s="1" t="s">
        <v>26</v>
      </c>
      <c r="B144" s="1">
        <v>3</v>
      </c>
      <c r="C144" s="1" t="s">
        <v>1214</v>
      </c>
      <c r="F144" s="1" t="s">
        <v>1846</v>
      </c>
      <c r="H144" s="1" t="s">
        <v>697</v>
      </c>
      <c r="I144" s="1" t="s">
        <v>1847</v>
      </c>
      <c r="J144" s="1" t="s">
        <v>1848</v>
      </c>
      <c r="O144" s="1" t="s">
        <v>234</v>
      </c>
      <c r="P144" s="1">
        <v>13</v>
      </c>
      <c r="Q144" s="1" t="s">
        <v>97</v>
      </c>
      <c r="R144" s="1">
        <v>220</v>
      </c>
      <c r="V144" s="1" t="s">
        <v>1849</v>
      </c>
      <c r="AA144" s="1" t="s">
        <v>790</v>
      </c>
      <c r="AE144" s="14" t="s">
        <v>1850</v>
      </c>
      <c r="AF144" s="1" t="s">
        <v>1851</v>
      </c>
      <c r="AH144" s="1" t="s">
        <v>1272</v>
      </c>
      <c r="AM144" s="66" t="str">
        <f t="shared" si="2"/>
        <v/>
      </c>
    </row>
    <row r="145" spans="1:39" ht="28.8" x14ac:dyDescent="0.35">
      <c r="A145" s="1" t="s">
        <v>26</v>
      </c>
      <c r="B145" s="1">
        <v>3</v>
      </c>
      <c r="C145" s="1" t="s">
        <v>1808</v>
      </c>
      <c r="F145" s="1" t="s">
        <v>1852</v>
      </c>
      <c r="H145" s="1" t="s">
        <v>273</v>
      </c>
      <c r="I145" s="1" t="s">
        <v>1853</v>
      </c>
      <c r="J145" s="1" t="s">
        <v>2590</v>
      </c>
      <c r="O145" s="1" t="s">
        <v>234</v>
      </c>
      <c r="P145" s="1">
        <v>11</v>
      </c>
      <c r="Q145" s="1" t="s">
        <v>33</v>
      </c>
      <c r="R145" s="1">
        <v>220</v>
      </c>
      <c r="V145" s="1" t="s">
        <v>1854</v>
      </c>
      <c r="W145" s="1">
        <v>400</v>
      </c>
      <c r="X145" s="1" t="s">
        <v>769</v>
      </c>
      <c r="AA145" s="1" t="s">
        <v>1248</v>
      </c>
      <c r="AB145" s="4">
        <v>32143</v>
      </c>
      <c r="AF145" s="1" t="s">
        <v>1855</v>
      </c>
      <c r="AH145" s="1" t="s">
        <v>1272</v>
      </c>
      <c r="AI145" s="4">
        <v>44838</v>
      </c>
      <c r="AM145" s="66" t="str">
        <f t="shared" si="2"/>
        <v/>
      </c>
    </row>
    <row r="146" spans="1:39" ht="57.6" x14ac:dyDescent="0.35">
      <c r="A146" s="1" t="s">
        <v>26</v>
      </c>
      <c r="B146" s="1">
        <v>3</v>
      </c>
      <c r="C146" s="1" t="s">
        <v>1826</v>
      </c>
      <c r="F146" s="1" t="s">
        <v>1856</v>
      </c>
      <c r="H146" s="1" t="s">
        <v>547</v>
      </c>
      <c r="I146" s="1" t="s">
        <v>1857</v>
      </c>
      <c r="J146" s="1" t="s">
        <v>1828</v>
      </c>
      <c r="O146" s="1" t="s">
        <v>234</v>
      </c>
      <c r="P146" s="1">
        <v>11</v>
      </c>
      <c r="Q146" s="1" t="s">
        <v>198</v>
      </c>
      <c r="V146" s="1" t="s">
        <v>1858</v>
      </c>
      <c r="AA146" s="1" t="s">
        <v>1248</v>
      </c>
      <c r="AC146" s="1" t="s">
        <v>1830</v>
      </c>
      <c r="AE146" s="14">
        <v>17180</v>
      </c>
      <c r="AF146" s="1" t="s">
        <v>1859</v>
      </c>
      <c r="AH146" s="1" t="s">
        <v>1194</v>
      </c>
      <c r="AM146" s="66" t="str">
        <f t="shared" si="2"/>
        <v/>
      </c>
    </row>
    <row r="147" spans="1:39" ht="43.2" x14ac:dyDescent="0.35">
      <c r="A147" s="1" t="s">
        <v>26</v>
      </c>
      <c r="B147" s="1">
        <v>3</v>
      </c>
      <c r="C147" s="1" t="s">
        <v>1838</v>
      </c>
      <c r="F147" s="1" t="s">
        <v>1860</v>
      </c>
      <c r="H147" s="1" t="s">
        <v>385</v>
      </c>
      <c r="I147" s="1" t="s">
        <v>1861</v>
      </c>
      <c r="J147" s="1" t="s">
        <v>1862</v>
      </c>
      <c r="O147" s="1" t="s">
        <v>234</v>
      </c>
      <c r="P147" s="1">
        <v>8</v>
      </c>
      <c r="Q147" s="1" t="s">
        <v>198</v>
      </c>
      <c r="R147" s="1">
        <v>220</v>
      </c>
      <c r="V147" s="1" t="s">
        <v>1863</v>
      </c>
      <c r="AA147" s="1" t="s">
        <v>790</v>
      </c>
      <c r="AF147" s="1" t="s">
        <v>1366</v>
      </c>
      <c r="AH147" s="1" t="s">
        <v>1194</v>
      </c>
      <c r="AM147" s="66" t="str">
        <f t="shared" si="2"/>
        <v/>
      </c>
    </row>
    <row r="148" spans="1:39" ht="57.6" x14ac:dyDescent="0.35">
      <c r="A148" s="1" t="s">
        <v>26</v>
      </c>
      <c r="B148" s="1">
        <v>3</v>
      </c>
      <c r="C148" s="1" t="s">
        <v>1195</v>
      </c>
      <c r="F148" s="1" t="s">
        <v>671</v>
      </c>
      <c r="H148" s="1" t="s">
        <v>671</v>
      </c>
      <c r="I148" s="1" t="s">
        <v>1864</v>
      </c>
      <c r="J148" s="1" t="s">
        <v>686</v>
      </c>
      <c r="O148" s="1" t="s">
        <v>234</v>
      </c>
      <c r="P148" s="1">
        <v>6</v>
      </c>
      <c r="Q148" s="1" t="s">
        <v>97</v>
      </c>
      <c r="R148" s="1">
        <v>220</v>
      </c>
      <c r="V148" s="1" t="s">
        <v>1865</v>
      </c>
      <c r="AA148" s="1" t="s">
        <v>1192</v>
      </c>
      <c r="AF148" s="1" t="s">
        <v>682</v>
      </c>
      <c r="AH148" s="1" t="s">
        <v>1194</v>
      </c>
      <c r="AM148" s="66" t="str">
        <f t="shared" si="2"/>
        <v/>
      </c>
    </row>
    <row r="149" spans="1:39" ht="57.6" x14ac:dyDescent="0.35">
      <c r="A149" s="1" t="s">
        <v>26</v>
      </c>
      <c r="B149" s="1">
        <v>3</v>
      </c>
      <c r="C149" s="1" t="s">
        <v>1195</v>
      </c>
      <c r="F149" s="1" t="s">
        <v>1866</v>
      </c>
      <c r="H149" s="1" t="s">
        <v>671</v>
      </c>
      <c r="I149" s="1" t="s">
        <v>1867</v>
      </c>
      <c r="J149" s="1" t="s">
        <v>2590</v>
      </c>
      <c r="O149" s="1" t="s">
        <v>234</v>
      </c>
      <c r="P149" s="1">
        <v>6</v>
      </c>
      <c r="Q149" s="1" t="s">
        <v>97</v>
      </c>
      <c r="R149" s="1">
        <v>110</v>
      </c>
      <c r="V149" s="1" t="s">
        <v>1868</v>
      </c>
      <c r="AA149" s="1" t="s">
        <v>1192</v>
      </c>
      <c r="AE149" s="14" t="s">
        <v>1869</v>
      </c>
      <c r="AF149" s="1" t="s">
        <v>1870</v>
      </c>
      <c r="AH149" s="1" t="s">
        <v>1194</v>
      </c>
      <c r="AM149" s="66" t="str">
        <f t="shared" si="2"/>
        <v/>
      </c>
    </row>
    <row r="150" spans="1:39" ht="28.8" x14ac:dyDescent="0.35">
      <c r="A150" s="1" t="s">
        <v>26</v>
      </c>
      <c r="B150" s="1">
        <v>3</v>
      </c>
      <c r="C150" s="1" t="s">
        <v>1871</v>
      </c>
      <c r="F150" s="1" t="s">
        <v>1872</v>
      </c>
      <c r="H150" s="1" t="s">
        <v>671</v>
      </c>
      <c r="I150" s="1" t="s">
        <v>1873</v>
      </c>
      <c r="J150" s="1" t="s">
        <v>686</v>
      </c>
      <c r="O150" s="1" t="s">
        <v>234</v>
      </c>
      <c r="P150" s="1">
        <v>6</v>
      </c>
      <c r="Q150" s="1" t="s">
        <v>97</v>
      </c>
      <c r="R150" s="1">
        <v>110</v>
      </c>
      <c r="V150" s="1" t="s">
        <v>1865</v>
      </c>
      <c r="W150" s="1">
        <v>200</v>
      </c>
      <c r="X150" s="1" t="s">
        <v>1874</v>
      </c>
      <c r="AA150" s="1" t="s">
        <v>1192</v>
      </c>
      <c r="AE150" s="14" t="s">
        <v>1875</v>
      </c>
      <c r="AF150" s="1" t="s">
        <v>1876</v>
      </c>
      <c r="AH150" s="1" t="s">
        <v>1194</v>
      </c>
      <c r="AM150" s="66" t="str">
        <f t="shared" si="2"/>
        <v/>
      </c>
    </row>
    <row r="151" spans="1:39" ht="28.8" x14ac:dyDescent="0.35">
      <c r="A151" s="1" t="s">
        <v>26</v>
      </c>
      <c r="B151" s="1">
        <v>3</v>
      </c>
      <c r="C151" s="1" t="s">
        <v>1871</v>
      </c>
      <c r="F151" s="1" t="s">
        <v>1872</v>
      </c>
      <c r="H151" s="1" t="s">
        <v>671</v>
      </c>
      <c r="I151" s="1" t="s">
        <v>1877</v>
      </c>
      <c r="J151" s="1" t="s">
        <v>1878</v>
      </c>
      <c r="O151" s="1" t="s">
        <v>234</v>
      </c>
      <c r="P151" s="1">
        <v>6</v>
      </c>
      <c r="Q151" s="1" t="s">
        <v>97</v>
      </c>
      <c r="R151" s="1">
        <v>110</v>
      </c>
      <c r="V151" s="1" t="s">
        <v>1879</v>
      </c>
      <c r="W151" s="1">
        <v>200</v>
      </c>
      <c r="X151" s="1" t="s">
        <v>1874</v>
      </c>
      <c r="AA151" s="1" t="s">
        <v>1880</v>
      </c>
      <c r="AF151" s="1" t="s">
        <v>1876</v>
      </c>
      <c r="AH151" s="1" t="s">
        <v>1194</v>
      </c>
      <c r="AM151" s="66" t="str">
        <f t="shared" si="2"/>
        <v/>
      </c>
    </row>
    <row r="152" spans="1:39" ht="28.8" x14ac:dyDescent="0.35">
      <c r="A152" s="1" t="s">
        <v>26</v>
      </c>
      <c r="B152" s="1">
        <v>3</v>
      </c>
      <c r="C152" s="1" t="s">
        <v>1214</v>
      </c>
      <c r="F152" s="1" t="s">
        <v>1881</v>
      </c>
      <c r="H152" s="1" t="s">
        <v>464</v>
      </c>
      <c r="I152" s="1" t="s">
        <v>1882</v>
      </c>
      <c r="J152" s="1" t="s">
        <v>956</v>
      </c>
      <c r="O152" s="1" t="s">
        <v>234</v>
      </c>
      <c r="P152" s="1">
        <v>4</v>
      </c>
      <c r="Q152" s="1" t="s">
        <v>198</v>
      </c>
      <c r="R152" s="1">
        <v>220</v>
      </c>
      <c r="V152" s="1" t="s">
        <v>998</v>
      </c>
      <c r="AA152" s="1" t="s">
        <v>1212</v>
      </c>
      <c r="AE152" s="14" t="s">
        <v>1883</v>
      </c>
      <c r="AF152" s="1" t="s">
        <v>1884</v>
      </c>
      <c r="AH152" s="1" t="s">
        <v>1194</v>
      </c>
      <c r="AM152" s="66" t="str">
        <f t="shared" si="2"/>
        <v/>
      </c>
    </row>
    <row r="153" spans="1:39" ht="16.2" x14ac:dyDescent="0.35">
      <c r="A153" s="1" t="s">
        <v>26</v>
      </c>
      <c r="B153" s="1">
        <v>3</v>
      </c>
      <c r="C153" s="1" t="s">
        <v>1756</v>
      </c>
      <c r="F153" s="1" t="s">
        <v>1885</v>
      </c>
      <c r="H153" s="1" t="s">
        <v>697</v>
      </c>
      <c r="I153" s="1" t="s">
        <v>1886</v>
      </c>
      <c r="J153" s="1" t="s">
        <v>1887</v>
      </c>
      <c r="O153" s="1" t="s">
        <v>234</v>
      </c>
      <c r="P153" s="1">
        <v>1.6</v>
      </c>
      <c r="Q153" s="1" t="s">
        <v>198</v>
      </c>
      <c r="R153" s="1">
        <v>220</v>
      </c>
      <c r="V153" s="1" t="s">
        <v>1888</v>
      </c>
      <c r="AB153" s="77">
        <v>37622</v>
      </c>
      <c r="AE153" s="14" t="s">
        <v>1889</v>
      </c>
      <c r="AF153" s="1" t="s">
        <v>1890</v>
      </c>
      <c r="AH153" s="1" t="s">
        <v>1891</v>
      </c>
      <c r="AI153" s="4">
        <v>44833</v>
      </c>
      <c r="AK153" s="20" t="s">
        <v>846</v>
      </c>
      <c r="AM153" s="66" t="str">
        <f t="shared" si="2"/>
        <v/>
      </c>
    </row>
    <row r="154" spans="1:39" ht="28.8" x14ac:dyDescent="0.35">
      <c r="A154" s="1" t="s">
        <v>26</v>
      </c>
      <c r="B154" s="1">
        <v>3</v>
      </c>
      <c r="C154" s="1" t="s">
        <v>1808</v>
      </c>
      <c r="F154" s="1" t="s">
        <v>1892</v>
      </c>
      <c r="H154" s="1" t="s">
        <v>64</v>
      </c>
      <c r="I154" s="1" t="s">
        <v>1893</v>
      </c>
      <c r="J154" s="1" t="s">
        <v>1894</v>
      </c>
      <c r="O154" s="1" t="s">
        <v>234</v>
      </c>
      <c r="P154" s="1">
        <v>1.5</v>
      </c>
      <c r="Q154" s="1" t="s">
        <v>68</v>
      </c>
      <c r="R154" s="1">
        <v>220</v>
      </c>
      <c r="V154" s="1" t="s">
        <v>1895</v>
      </c>
      <c r="AA154" s="1" t="s">
        <v>1212</v>
      </c>
      <c r="AE154" s="14" t="s">
        <v>1896</v>
      </c>
      <c r="AF154" s="1" t="s">
        <v>1897</v>
      </c>
      <c r="AH154" s="1" t="s">
        <v>1194</v>
      </c>
      <c r="AM154" s="66" t="str">
        <f t="shared" si="2"/>
        <v/>
      </c>
    </row>
    <row r="155" spans="1:39" ht="28.8" x14ac:dyDescent="0.35">
      <c r="A155" s="1" t="s">
        <v>26</v>
      </c>
      <c r="B155" s="1">
        <v>3</v>
      </c>
      <c r="C155" s="1" t="s">
        <v>1201</v>
      </c>
      <c r="F155" s="1" t="s">
        <v>1898</v>
      </c>
      <c r="H155" s="1" t="s">
        <v>893</v>
      </c>
      <c r="I155" s="1" t="s">
        <v>1899</v>
      </c>
      <c r="J155" s="1" t="s">
        <v>1900</v>
      </c>
      <c r="O155" s="1" t="s">
        <v>234</v>
      </c>
      <c r="P155" s="1">
        <v>1.3</v>
      </c>
      <c r="Q155" s="1" t="s">
        <v>198</v>
      </c>
      <c r="R155" s="1">
        <v>220</v>
      </c>
      <c r="V155" s="1" t="s">
        <v>1901</v>
      </c>
      <c r="AA155" s="1" t="s">
        <v>1212</v>
      </c>
      <c r="AB155" s="4">
        <v>36892</v>
      </c>
      <c r="AE155" s="14" t="s">
        <v>1902</v>
      </c>
      <c r="AF155" s="1" t="s">
        <v>1903</v>
      </c>
      <c r="AH155" s="1" t="s">
        <v>112</v>
      </c>
      <c r="AI155" s="4">
        <v>44837</v>
      </c>
      <c r="AM155" s="66" t="str">
        <f t="shared" si="2"/>
        <v/>
      </c>
    </row>
    <row r="156" spans="1:39" ht="28.8" x14ac:dyDescent="0.35">
      <c r="A156" s="1" t="s">
        <v>26</v>
      </c>
      <c r="B156" s="1">
        <v>3</v>
      </c>
      <c r="C156" s="1" t="s">
        <v>1808</v>
      </c>
      <c r="F156" s="1" t="s">
        <v>1904</v>
      </c>
      <c r="H156" s="1" t="s">
        <v>385</v>
      </c>
      <c r="I156" s="1" t="s">
        <v>1905</v>
      </c>
      <c r="J156" s="1" t="s">
        <v>1906</v>
      </c>
      <c r="O156" s="1" t="s">
        <v>234</v>
      </c>
      <c r="P156" s="1">
        <v>1.3</v>
      </c>
      <c r="Q156" s="1" t="s">
        <v>235</v>
      </c>
      <c r="V156" s="1" t="s">
        <v>1907</v>
      </c>
      <c r="AA156" s="1" t="s">
        <v>1192</v>
      </c>
      <c r="AB156" s="4">
        <v>32509</v>
      </c>
      <c r="AE156" s="14" t="s">
        <v>1908</v>
      </c>
      <c r="AF156" s="1" t="s">
        <v>1366</v>
      </c>
      <c r="AH156" s="1" t="s">
        <v>1194</v>
      </c>
      <c r="AM156" s="66" t="str">
        <f t="shared" si="2"/>
        <v/>
      </c>
    </row>
    <row r="157" spans="1:39" ht="28.8" x14ac:dyDescent="0.35">
      <c r="A157" s="1" t="s">
        <v>26</v>
      </c>
      <c r="B157" s="1">
        <v>3</v>
      </c>
      <c r="C157" s="1" t="s">
        <v>1808</v>
      </c>
      <c r="F157" s="1" t="s">
        <v>1909</v>
      </c>
      <c r="H157" s="1" t="s">
        <v>385</v>
      </c>
      <c r="I157" s="1" t="s">
        <v>1910</v>
      </c>
      <c r="J157" s="1" t="s">
        <v>1911</v>
      </c>
      <c r="O157" s="1" t="s">
        <v>234</v>
      </c>
      <c r="P157" s="1">
        <v>1.1000000000000001</v>
      </c>
      <c r="Q157" s="1" t="s">
        <v>198</v>
      </c>
      <c r="R157" s="1">
        <v>220</v>
      </c>
      <c r="V157" s="1" t="s">
        <v>1912</v>
      </c>
      <c r="AA157" s="1" t="s">
        <v>1248</v>
      </c>
      <c r="AB157" s="4">
        <v>33604</v>
      </c>
      <c r="AE157" s="14" t="s">
        <v>1913</v>
      </c>
      <c r="AF157" s="1" t="s">
        <v>1366</v>
      </c>
      <c r="AH157" s="1" t="s">
        <v>1194</v>
      </c>
      <c r="AM157" s="66" t="str">
        <f t="shared" si="2"/>
        <v/>
      </c>
    </row>
    <row r="158" spans="1:39" ht="28.8" x14ac:dyDescent="0.35">
      <c r="A158" s="1" t="s">
        <v>26</v>
      </c>
      <c r="B158" s="1">
        <v>3</v>
      </c>
      <c r="C158" s="1" t="s">
        <v>1808</v>
      </c>
      <c r="F158" s="1" t="s">
        <v>1914</v>
      </c>
      <c r="H158" s="1" t="s">
        <v>335</v>
      </c>
      <c r="I158" s="1" t="s">
        <v>1915</v>
      </c>
      <c r="J158" s="1" t="s">
        <v>1916</v>
      </c>
      <c r="O158" s="1" t="s">
        <v>234</v>
      </c>
      <c r="P158" s="1">
        <v>1</v>
      </c>
      <c r="Q158" s="1" t="s">
        <v>68</v>
      </c>
      <c r="R158" s="1">
        <v>220</v>
      </c>
      <c r="V158" s="1" t="s">
        <v>1917</v>
      </c>
      <c r="AA158" s="1" t="s">
        <v>1212</v>
      </c>
      <c r="AB158" s="4">
        <v>27760</v>
      </c>
      <c r="AE158" s="14" t="s">
        <v>1918</v>
      </c>
      <c r="AF158" s="1" t="s">
        <v>1797</v>
      </c>
      <c r="AH158" s="1" t="s">
        <v>1194</v>
      </c>
      <c r="AM158" s="66" t="str">
        <f t="shared" si="2"/>
        <v/>
      </c>
    </row>
    <row r="159" spans="1:39" ht="43.2" x14ac:dyDescent="0.35">
      <c r="A159" s="1" t="s">
        <v>26</v>
      </c>
      <c r="B159" s="1">
        <v>3</v>
      </c>
      <c r="C159" s="1" t="s">
        <v>1838</v>
      </c>
      <c r="F159" s="1" t="s">
        <v>1919</v>
      </c>
      <c r="H159" s="1" t="s">
        <v>288</v>
      </c>
      <c r="I159" s="1" t="s">
        <v>1920</v>
      </c>
      <c r="J159" s="1" t="s">
        <v>1921</v>
      </c>
      <c r="O159" s="1" t="s">
        <v>234</v>
      </c>
      <c r="P159" s="16">
        <v>0.5</v>
      </c>
      <c r="Q159" s="1" t="s">
        <v>235</v>
      </c>
      <c r="R159" s="1">
        <v>220</v>
      </c>
      <c r="AA159" s="1" t="s">
        <v>1212</v>
      </c>
      <c r="AE159" s="14" t="s">
        <v>1922</v>
      </c>
      <c r="AF159" s="1" t="s">
        <v>1923</v>
      </c>
      <c r="AH159" s="1" t="s">
        <v>1194</v>
      </c>
      <c r="AM159" s="66" t="str">
        <f t="shared" si="2"/>
        <v/>
      </c>
    </row>
    <row r="160" spans="1:39" ht="16.2" x14ac:dyDescent="0.35">
      <c r="A160" s="1" t="s">
        <v>26</v>
      </c>
      <c r="B160" s="1">
        <v>3</v>
      </c>
      <c r="C160" s="1" t="s">
        <v>1214</v>
      </c>
      <c r="F160" s="1" t="s">
        <v>1924</v>
      </c>
      <c r="H160" s="1" t="s">
        <v>697</v>
      </c>
      <c r="I160" s="1" t="s">
        <v>1925</v>
      </c>
      <c r="J160" s="1" t="s">
        <v>1887</v>
      </c>
      <c r="O160" s="1" t="s">
        <v>234</v>
      </c>
      <c r="P160" s="16">
        <v>0.5</v>
      </c>
      <c r="Q160" s="1" t="s">
        <v>68</v>
      </c>
      <c r="R160" s="1">
        <v>110</v>
      </c>
      <c r="S160" s="1">
        <v>220</v>
      </c>
      <c r="V160" s="1" t="s">
        <v>1926</v>
      </c>
      <c r="AA160" s="1" t="s">
        <v>1192</v>
      </c>
      <c r="AE160" s="14" t="s">
        <v>1927</v>
      </c>
      <c r="AF160" s="1" t="s">
        <v>1928</v>
      </c>
      <c r="AH160" s="1" t="s">
        <v>1194</v>
      </c>
      <c r="AM160" s="66" t="str">
        <f t="shared" si="2"/>
        <v/>
      </c>
    </row>
    <row r="161" spans="1:39" ht="43.2" x14ac:dyDescent="0.35">
      <c r="A161" s="1" t="s">
        <v>26</v>
      </c>
      <c r="B161" s="1">
        <v>3</v>
      </c>
      <c r="C161" s="1" t="s">
        <v>1838</v>
      </c>
      <c r="F161" s="1" t="s">
        <v>1929</v>
      </c>
      <c r="H161" s="1" t="s">
        <v>385</v>
      </c>
      <c r="I161" s="1" t="s">
        <v>1930</v>
      </c>
      <c r="J161" s="1" t="s">
        <v>1931</v>
      </c>
      <c r="O161" s="1" t="s">
        <v>234</v>
      </c>
      <c r="P161" s="1">
        <v>0.37</v>
      </c>
      <c r="Q161" s="1" t="s">
        <v>198</v>
      </c>
      <c r="R161" s="1">
        <v>220</v>
      </c>
      <c r="AA161" s="1" t="s">
        <v>1212</v>
      </c>
      <c r="AB161" s="4">
        <v>40179</v>
      </c>
      <c r="AE161" s="14" t="s">
        <v>1932</v>
      </c>
      <c r="AH161" s="1" t="s">
        <v>1194</v>
      </c>
      <c r="AM161" s="66" t="str">
        <f t="shared" si="2"/>
        <v/>
      </c>
    </row>
    <row r="162" spans="1:39" ht="57.6" x14ac:dyDescent="0.35">
      <c r="A162" s="1" t="s">
        <v>26</v>
      </c>
      <c r="B162" s="1">
        <v>3</v>
      </c>
      <c r="C162" s="1" t="s">
        <v>1195</v>
      </c>
      <c r="F162" s="1" t="s">
        <v>335</v>
      </c>
      <c r="H162" s="1" t="s">
        <v>335</v>
      </c>
      <c r="I162" s="1" t="s">
        <v>1933</v>
      </c>
      <c r="J162" s="1" t="s">
        <v>1934</v>
      </c>
      <c r="O162" s="1" t="s">
        <v>234</v>
      </c>
      <c r="P162" s="16">
        <v>0.33333333333333331</v>
      </c>
      <c r="Q162" s="1" t="s">
        <v>235</v>
      </c>
      <c r="R162" s="1">
        <v>115</v>
      </c>
      <c r="V162" s="1" t="s">
        <v>1935</v>
      </c>
      <c r="AA162" s="1" t="s">
        <v>1166</v>
      </c>
      <c r="AF162" s="1" t="s">
        <v>1797</v>
      </c>
      <c r="AH162" s="1" t="s">
        <v>1194</v>
      </c>
      <c r="AM162" s="66" t="str">
        <f t="shared" si="2"/>
        <v/>
      </c>
    </row>
    <row r="163" spans="1:39" ht="57.6" x14ac:dyDescent="0.35">
      <c r="A163" s="1" t="s">
        <v>26</v>
      </c>
      <c r="B163" s="1">
        <v>3</v>
      </c>
      <c r="C163" s="1" t="s">
        <v>1195</v>
      </c>
      <c r="F163" s="1" t="s">
        <v>1936</v>
      </c>
      <c r="H163" s="1" t="s">
        <v>1937</v>
      </c>
      <c r="I163" s="1" t="s">
        <v>1938</v>
      </c>
      <c r="J163" s="1" t="s">
        <v>1939</v>
      </c>
      <c r="O163" s="1" t="s">
        <v>234</v>
      </c>
      <c r="P163" s="1">
        <v>0.25</v>
      </c>
      <c r="Q163" s="1" t="s">
        <v>68</v>
      </c>
      <c r="R163" s="1">
        <v>220</v>
      </c>
      <c r="V163" s="1" t="s">
        <v>1940</v>
      </c>
      <c r="AA163" s="1" t="s">
        <v>1212</v>
      </c>
      <c r="AE163" s="14" t="s">
        <v>1941</v>
      </c>
      <c r="AF163" s="1" t="s">
        <v>1942</v>
      </c>
      <c r="AH163" s="1" t="s">
        <v>1194</v>
      </c>
      <c r="AM163" s="66" t="str">
        <f t="shared" si="2"/>
        <v/>
      </c>
    </row>
    <row r="164" spans="1:39" ht="57.6" x14ac:dyDescent="0.35">
      <c r="A164" s="1" t="s">
        <v>26</v>
      </c>
      <c r="B164" s="1">
        <v>3</v>
      </c>
      <c r="C164" s="1" t="s">
        <v>1195</v>
      </c>
      <c r="F164" s="1" t="s">
        <v>1936</v>
      </c>
      <c r="H164" s="1" t="s">
        <v>1937</v>
      </c>
      <c r="I164" s="1" t="s">
        <v>1943</v>
      </c>
      <c r="J164" s="1" t="s">
        <v>1939</v>
      </c>
      <c r="O164" s="1" t="s">
        <v>234</v>
      </c>
      <c r="P164" s="1">
        <v>0.25</v>
      </c>
      <c r="Q164" s="1" t="s">
        <v>68</v>
      </c>
      <c r="R164" s="1">
        <v>220</v>
      </c>
      <c r="V164" s="83" t="s">
        <v>1940</v>
      </c>
      <c r="W164" s="83"/>
      <c r="X164" s="83"/>
      <c r="Y164" s="83"/>
      <c r="Z164" s="83"/>
      <c r="AA164" s="83" t="s">
        <v>1212</v>
      </c>
      <c r="AB164" s="85"/>
      <c r="AC164" s="83"/>
      <c r="AD164" s="83"/>
      <c r="AE164" s="86" t="s">
        <v>1944</v>
      </c>
      <c r="AF164" s="83" t="s">
        <v>1942</v>
      </c>
      <c r="AH164" s="1" t="s">
        <v>1194</v>
      </c>
      <c r="AM164" s="66" t="str">
        <f t="shared" si="2"/>
        <v/>
      </c>
    </row>
    <row r="165" spans="1:39" ht="57.6" x14ac:dyDescent="0.35">
      <c r="A165" s="1" t="s">
        <v>26</v>
      </c>
      <c r="B165" s="1">
        <v>3</v>
      </c>
      <c r="C165" s="1" t="s">
        <v>1195</v>
      </c>
      <c r="F165" s="1" t="s">
        <v>1936</v>
      </c>
      <c r="H165" s="1" t="s">
        <v>1937</v>
      </c>
      <c r="I165" s="1" t="s">
        <v>1945</v>
      </c>
      <c r="J165" s="1" t="s">
        <v>1946</v>
      </c>
      <c r="O165" s="1" t="s">
        <v>234</v>
      </c>
      <c r="P165" s="1">
        <v>0.25</v>
      </c>
      <c r="Q165" s="1" t="s">
        <v>68</v>
      </c>
      <c r="R165" s="1">
        <v>220</v>
      </c>
      <c r="V165" s="83" t="s">
        <v>1947</v>
      </c>
      <c r="W165" s="83"/>
      <c r="X165" s="83"/>
      <c r="Y165" s="83"/>
      <c r="Z165" s="83"/>
      <c r="AA165" s="83" t="s">
        <v>1682</v>
      </c>
      <c r="AB165" s="85"/>
      <c r="AC165" s="83"/>
      <c r="AD165" s="83"/>
      <c r="AE165" s="86" t="s">
        <v>1948</v>
      </c>
      <c r="AF165" s="83" t="s">
        <v>1942</v>
      </c>
      <c r="AH165" s="1" t="s">
        <v>1194</v>
      </c>
      <c r="AM165" s="66" t="str">
        <f t="shared" si="2"/>
        <v/>
      </c>
    </row>
    <row r="166" spans="1:39" ht="16.2" x14ac:dyDescent="0.35">
      <c r="A166" s="1" t="s">
        <v>26</v>
      </c>
      <c r="B166" s="1">
        <v>3</v>
      </c>
      <c r="C166" s="1" t="s">
        <v>1201</v>
      </c>
      <c r="F166" s="1" t="s">
        <v>1949</v>
      </c>
      <c r="H166" s="1" t="s">
        <v>1950</v>
      </c>
      <c r="I166" s="1" t="s">
        <v>1951</v>
      </c>
      <c r="J166" s="1" t="s">
        <v>1952</v>
      </c>
      <c r="O166" s="1" t="s">
        <v>234</v>
      </c>
      <c r="R166" s="1">
        <v>220</v>
      </c>
      <c r="V166" s="83"/>
      <c r="W166" s="83"/>
      <c r="X166" s="83"/>
      <c r="Y166" s="83"/>
      <c r="Z166" s="83"/>
      <c r="AA166" s="83" t="s">
        <v>1248</v>
      </c>
      <c r="AB166" s="85"/>
      <c r="AC166" s="83"/>
      <c r="AD166" s="83"/>
      <c r="AE166" s="86" t="s">
        <v>1953</v>
      </c>
      <c r="AF166" s="83" t="s">
        <v>1954</v>
      </c>
      <c r="AH166" s="1" t="s">
        <v>1272</v>
      </c>
      <c r="AJ166" s="83"/>
      <c r="AM166" s="66" t="str">
        <f t="shared" si="2"/>
        <v/>
      </c>
    </row>
    <row r="167" spans="1:39" ht="28.8" x14ac:dyDescent="0.35">
      <c r="A167" s="1" t="s">
        <v>26</v>
      </c>
      <c r="B167" s="1">
        <v>3</v>
      </c>
      <c r="C167" s="1" t="s">
        <v>1808</v>
      </c>
      <c r="F167" s="1" t="s">
        <v>1955</v>
      </c>
      <c r="H167" s="1" t="s">
        <v>671</v>
      </c>
      <c r="I167" s="1" t="s">
        <v>1956</v>
      </c>
      <c r="J167" s="1" t="s">
        <v>1957</v>
      </c>
      <c r="O167" s="1" t="s">
        <v>234</v>
      </c>
      <c r="R167" s="1">
        <v>220</v>
      </c>
      <c r="V167" s="83" t="s">
        <v>1958</v>
      </c>
      <c r="W167" s="83"/>
      <c r="X167" s="83"/>
      <c r="Y167" s="83"/>
      <c r="Z167" s="83"/>
      <c r="AA167" s="83" t="s">
        <v>790</v>
      </c>
      <c r="AB167" s="85"/>
      <c r="AC167" s="83"/>
      <c r="AD167" s="83"/>
      <c r="AE167" s="86"/>
      <c r="AF167" s="83" t="s">
        <v>682</v>
      </c>
      <c r="AH167" s="1" t="s">
        <v>1194</v>
      </c>
      <c r="AJ167" s="83"/>
      <c r="AM167" s="66" t="str">
        <f t="shared" si="2"/>
        <v/>
      </c>
    </row>
    <row r="168" spans="1:39" ht="28.8" x14ac:dyDescent="0.35">
      <c r="A168" s="1" t="s">
        <v>26</v>
      </c>
      <c r="B168" s="1">
        <v>3</v>
      </c>
      <c r="C168" s="1" t="s">
        <v>1808</v>
      </c>
      <c r="F168" s="1" t="s">
        <v>1959</v>
      </c>
      <c r="H168" s="1" t="s">
        <v>1959</v>
      </c>
      <c r="I168" s="1" t="s">
        <v>1960</v>
      </c>
      <c r="J168" s="1" t="s">
        <v>1946</v>
      </c>
      <c r="O168" s="1" t="s">
        <v>234</v>
      </c>
      <c r="R168" s="1">
        <v>220</v>
      </c>
      <c r="V168" s="83" t="s">
        <v>1961</v>
      </c>
      <c r="W168" s="83"/>
      <c r="X168" s="83"/>
      <c r="Y168" s="83"/>
      <c r="Z168" s="83"/>
      <c r="AA168" s="83" t="s">
        <v>1682</v>
      </c>
      <c r="AB168" s="85"/>
      <c r="AC168" s="83"/>
      <c r="AD168" s="83"/>
      <c r="AE168" s="86" t="s">
        <v>1962</v>
      </c>
      <c r="AF168" s="83" t="s">
        <v>1963</v>
      </c>
      <c r="AH168" s="1" t="s">
        <v>1194</v>
      </c>
      <c r="AJ168" s="83"/>
      <c r="AM168" s="66" t="str">
        <f t="shared" si="2"/>
        <v/>
      </c>
    </row>
    <row r="169" spans="1:39" ht="28.8" x14ac:dyDescent="0.35">
      <c r="A169" s="1" t="s">
        <v>26</v>
      </c>
      <c r="B169" s="1">
        <v>3</v>
      </c>
      <c r="C169" s="1" t="s">
        <v>1808</v>
      </c>
      <c r="F169" s="1" t="s">
        <v>1964</v>
      </c>
      <c r="H169" s="1" t="s">
        <v>273</v>
      </c>
      <c r="I169" s="1" t="s">
        <v>1965</v>
      </c>
      <c r="J169" s="1" t="s">
        <v>1966</v>
      </c>
      <c r="O169" s="1" t="s">
        <v>234</v>
      </c>
      <c r="R169" s="1">
        <v>220</v>
      </c>
      <c r="U169" s="1" t="s">
        <v>1967</v>
      </c>
      <c r="V169" s="83" t="s">
        <v>1968</v>
      </c>
      <c r="W169" s="83">
        <v>60000</v>
      </c>
      <c r="X169" s="83" t="s">
        <v>1969</v>
      </c>
      <c r="Y169" s="83"/>
      <c r="Z169" s="83"/>
      <c r="AA169" s="83" t="s">
        <v>1192</v>
      </c>
      <c r="AB169" s="85"/>
      <c r="AC169" s="83"/>
      <c r="AD169" s="83"/>
      <c r="AE169" s="86" t="s">
        <v>1970</v>
      </c>
      <c r="AF169" s="83" t="s">
        <v>1971</v>
      </c>
      <c r="AH169" s="1" t="s">
        <v>1194</v>
      </c>
      <c r="AJ169" s="83"/>
      <c r="AM169" s="66" t="str">
        <f t="shared" si="2"/>
        <v/>
      </c>
    </row>
    <row r="170" spans="1:39" ht="43.2" x14ac:dyDescent="0.35">
      <c r="A170" s="1" t="s">
        <v>26</v>
      </c>
      <c r="B170" s="1">
        <v>3</v>
      </c>
      <c r="C170" s="1" t="s">
        <v>1838</v>
      </c>
      <c r="F170" s="1" t="s">
        <v>1972</v>
      </c>
      <c r="H170" s="1" t="s">
        <v>750</v>
      </c>
      <c r="I170" s="1" t="s">
        <v>1973</v>
      </c>
      <c r="J170" s="1" t="s">
        <v>1974</v>
      </c>
      <c r="O170" s="1" t="s">
        <v>234</v>
      </c>
      <c r="R170" s="1">
        <v>220</v>
      </c>
      <c r="V170" s="83">
        <v>6234</v>
      </c>
      <c r="W170" s="83"/>
      <c r="AA170" s="1" t="s">
        <v>1975</v>
      </c>
      <c r="AB170" s="85">
        <v>41275</v>
      </c>
      <c r="AC170" s="83" t="s">
        <v>1830</v>
      </c>
      <c r="AD170" s="83"/>
      <c r="AE170" s="86">
        <v>16816</v>
      </c>
      <c r="AF170" s="83" t="s">
        <v>1976</v>
      </c>
      <c r="AH170" s="1" t="s">
        <v>1194</v>
      </c>
      <c r="AM170" s="66" t="str">
        <f t="shared" si="2"/>
        <v/>
      </c>
    </row>
    <row r="171" spans="1:39" ht="43.2" x14ac:dyDescent="0.35">
      <c r="A171" s="1" t="s">
        <v>26</v>
      </c>
      <c r="B171" s="1">
        <v>3</v>
      </c>
      <c r="C171" s="1" t="s">
        <v>1838</v>
      </c>
      <c r="F171" s="1" t="s">
        <v>1977</v>
      </c>
      <c r="H171" s="1" t="s">
        <v>385</v>
      </c>
      <c r="I171" s="1" t="s">
        <v>1978</v>
      </c>
      <c r="J171" s="1" t="s">
        <v>1979</v>
      </c>
      <c r="O171" s="1" t="s">
        <v>234</v>
      </c>
      <c r="R171" s="1">
        <v>115</v>
      </c>
      <c r="V171" s="83" t="s">
        <v>1980</v>
      </c>
      <c r="AA171" s="83" t="s">
        <v>1975</v>
      </c>
      <c r="AE171" s="14" t="s">
        <v>1981</v>
      </c>
      <c r="AF171" s="83" t="s">
        <v>1366</v>
      </c>
      <c r="AH171" s="1" t="s">
        <v>1845</v>
      </c>
      <c r="AM171" s="66" t="str">
        <f t="shared" si="2"/>
        <v/>
      </c>
    </row>
    <row r="172" spans="1:39" ht="43.2" x14ac:dyDescent="0.35">
      <c r="A172" s="1" t="s">
        <v>26</v>
      </c>
      <c r="B172" s="1">
        <v>3</v>
      </c>
      <c r="C172" s="1" t="s">
        <v>1838</v>
      </c>
      <c r="F172" s="1" t="s">
        <v>1982</v>
      </c>
      <c r="H172" s="1" t="s">
        <v>288</v>
      </c>
      <c r="I172" s="1" t="s">
        <v>1983</v>
      </c>
      <c r="J172" s="1" t="s">
        <v>1984</v>
      </c>
      <c r="O172" s="1" t="s">
        <v>234</v>
      </c>
      <c r="R172" s="1">
        <v>220</v>
      </c>
      <c r="V172" s="1" t="s">
        <v>1985</v>
      </c>
      <c r="AA172" s="1" t="s">
        <v>1212</v>
      </c>
      <c r="AE172" s="14" t="s">
        <v>1986</v>
      </c>
      <c r="AF172" s="83" t="s">
        <v>297</v>
      </c>
      <c r="AH172" s="1" t="s">
        <v>1194</v>
      </c>
      <c r="AM172" s="66" t="str">
        <f t="shared" si="2"/>
        <v/>
      </c>
    </row>
    <row r="173" spans="1:39" ht="57.6" x14ac:dyDescent="0.35">
      <c r="A173" s="1" t="s">
        <v>26</v>
      </c>
      <c r="B173" s="1">
        <v>3</v>
      </c>
      <c r="C173" s="1" t="s">
        <v>1195</v>
      </c>
      <c r="F173" s="1" t="s">
        <v>1987</v>
      </c>
      <c r="H173" s="1" t="s">
        <v>64</v>
      </c>
      <c r="I173" s="1" t="s">
        <v>1988</v>
      </c>
      <c r="J173" s="1" t="s">
        <v>811</v>
      </c>
      <c r="O173" s="1" t="s">
        <v>234</v>
      </c>
      <c r="R173" s="1">
        <v>120</v>
      </c>
      <c r="V173" s="1" t="s">
        <v>1987</v>
      </c>
      <c r="AA173" s="1" t="s">
        <v>1192</v>
      </c>
      <c r="AF173" s="83" t="s">
        <v>1989</v>
      </c>
      <c r="AH173" s="1" t="s">
        <v>1194</v>
      </c>
      <c r="AM173" s="66" t="str">
        <f t="shared" si="2"/>
        <v/>
      </c>
    </row>
    <row r="174" spans="1:39" ht="57.6" x14ac:dyDescent="0.35">
      <c r="A174" s="1" t="s">
        <v>26</v>
      </c>
      <c r="B174" s="1">
        <v>3</v>
      </c>
      <c r="C174" s="1" t="s">
        <v>1195</v>
      </c>
      <c r="F174" s="1" t="s">
        <v>625</v>
      </c>
      <c r="H174" s="1" t="s">
        <v>625</v>
      </c>
      <c r="I174" s="1" t="s">
        <v>1990</v>
      </c>
      <c r="J174" s="1" t="s">
        <v>1991</v>
      </c>
      <c r="O174" s="1" t="s">
        <v>234</v>
      </c>
      <c r="AA174" s="83"/>
      <c r="AE174" s="14" t="s">
        <v>1992</v>
      </c>
      <c r="AF174" s="1" t="s">
        <v>1993</v>
      </c>
      <c r="AH174" s="1" t="s">
        <v>1194</v>
      </c>
      <c r="AM174" s="66" t="str">
        <f t="shared" si="2"/>
        <v/>
      </c>
    </row>
    <row r="175" spans="1:39" ht="57.6" x14ac:dyDescent="0.35">
      <c r="A175" s="1" t="s">
        <v>26</v>
      </c>
      <c r="B175" s="1">
        <v>3</v>
      </c>
      <c r="C175" s="1" t="s">
        <v>1195</v>
      </c>
      <c r="F175" s="1" t="s">
        <v>1994</v>
      </c>
      <c r="H175" s="1" t="s">
        <v>697</v>
      </c>
      <c r="I175" s="1" t="s">
        <v>1995</v>
      </c>
      <c r="J175" s="1" t="s">
        <v>811</v>
      </c>
      <c r="O175" s="1" t="s">
        <v>234</v>
      </c>
      <c r="R175" s="1">
        <v>110</v>
      </c>
      <c r="V175" s="1" t="s">
        <v>1996</v>
      </c>
      <c r="AA175" s="83" t="s">
        <v>1192</v>
      </c>
      <c r="AE175" s="86"/>
      <c r="AF175" s="1" t="s">
        <v>1997</v>
      </c>
      <c r="AH175" s="1" t="s">
        <v>1194</v>
      </c>
      <c r="AM175" s="66" t="str">
        <f t="shared" si="2"/>
        <v/>
      </c>
    </row>
    <row r="176" spans="1:39" ht="57.6" x14ac:dyDescent="0.35">
      <c r="A176" s="1" t="s">
        <v>26</v>
      </c>
      <c r="B176" s="1">
        <v>3</v>
      </c>
      <c r="C176" s="1" t="s">
        <v>1195</v>
      </c>
      <c r="F176" s="1" t="s">
        <v>1998</v>
      </c>
      <c r="H176" s="1" t="s">
        <v>1998</v>
      </c>
      <c r="I176" s="1" t="s">
        <v>1999</v>
      </c>
      <c r="J176" s="1" t="s">
        <v>2000</v>
      </c>
      <c r="O176" s="1" t="s">
        <v>234</v>
      </c>
      <c r="W176" s="1">
        <v>50</v>
      </c>
      <c r="X176" s="1" t="s">
        <v>2001</v>
      </c>
      <c r="AE176" s="14" t="s">
        <v>2002</v>
      </c>
      <c r="AF176" s="1" t="s">
        <v>2003</v>
      </c>
      <c r="AH176" s="1" t="s">
        <v>1194</v>
      </c>
      <c r="AM176" s="66" t="str">
        <f t="shared" si="2"/>
        <v/>
      </c>
    </row>
    <row r="177" spans="1:39" ht="72" x14ac:dyDescent="0.35">
      <c r="A177" s="1" t="s">
        <v>26</v>
      </c>
      <c r="B177" s="1">
        <v>3</v>
      </c>
      <c r="C177" s="1" t="s">
        <v>1832</v>
      </c>
      <c r="F177" s="1" t="s">
        <v>2004</v>
      </c>
      <c r="H177" s="1" t="s">
        <v>1145</v>
      </c>
      <c r="I177" s="1" t="s">
        <v>2005</v>
      </c>
      <c r="J177" s="1" t="s">
        <v>2006</v>
      </c>
      <c r="O177" s="1" t="s">
        <v>234</v>
      </c>
      <c r="R177" s="1">
        <v>220</v>
      </c>
      <c r="V177" s="1" t="s">
        <v>2007</v>
      </c>
      <c r="AA177" s="1" t="s">
        <v>1212</v>
      </c>
      <c r="AE177" s="14">
        <v>25743</v>
      </c>
      <c r="AF177" s="1" t="s">
        <v>2008</v>
      </c>
      <c r="AH177" s="1" t="s">
        <v>1194</v>
      </c>
      <c r="AM177" s="66" t="str">
        <f t="shared" si="2"/>
        <v/>
      </c>
    </row>
    <row r="178" spans="1:39" ht="72" x14ac:dyDescent="0.35">
      <c r="A178" s="1" t="s">
        <v>26</v>
      </c>
      <c r="B178" s="1">
        <v>3</v>
      </c>
      <c r="C178" s="1" t="s">
        <v>1832</v>
      </c>
      <c r="F178" s="1" t="s">
        <v>2009</v>
      </c>
      <c r="H178" s="1" t="s">
        <v>491</v>
      </c>
      <c r="I178" s="1" t="s">
        <v>2010</v>
      </c>
      <c r="J178" s="1" t="s">
        <v>2011</v>
      </c>
      <c r="O178" s="1" t="s">
        <v>234</v>
      </c>
      <c r="R178" s="1">
        <v>220</v>
      </c>
      <c r="AA178" s="1" t="s">
        <v>1212</v>
      </c>
      <c r="AE178" s="14" t="s">
        <v>2012</v>
      </c>
      <c r="AH178" s="1" t="s">
        <v>1194</v>
      </c>
      <c r="AI178" s="58"/>
      <c r="AJ178" s="12"/>
      <c r="AM178" s="66" t="str">
        <f t="shared" si="2"/>
        <v/>
      </c>
    </row>
    <row r="179" spans="1:39" ht="57.6" x14ac:dyDescent="0.35">
      <c r="A179" s="1" t="s">
        <v>26</v>
      </c>
      <c r="B179" s="1">
        <v>3</v>
      </c>
      <c r="C179" s="1" t="s">
        <v>1826</v>
      </c>
      <c r="F179" s="1" t="s">
        <v>2013</v>
      </c>
      <c r="H179" s="1" t="s">
        <v>2014</v>
      </c>
      <c r="I179" s="1" t="s">
        <v>2015</v>
      </c>
      <c r="J179" s="1" t="s">
        <v>2016</v>
      </c>
      <c r="O179" s="1" t="s">
        <v>234</v>
      </c>
      <c r="R179" s="5">
        <v>500</v>
      </c>
      <c r="W179" s="1">
        <v>1000</v>
      </c>
      <c r="X179" s="1" t="s">
        <v>345</v>
      </c>
      <c r="AE179" s="14" t="s">
        <v>2017</v>
      </c>
      <c r="AF179" s="1" t="s">
        <v>2018</v>
      </c>
      <c r="AH179" s="1" t="s">
        <v>1194</v>
      </c>
      <c r="AM179" s="66" t="str">
        <f t="shared" si="2"/>
        <v/>
      </c>
    </row>
    <row r="180" spans="1:39" ht="28.8" x14ac:dyDescent="0.35">
      <c r="A180" s="1" t="s">
        <v>26</v>
      </c>
      <c r="B180" s="1">
        <v>3</v>
      </c>
      <c r="C180" s="1" t="s">
        <v>1756</v>
      </c>
      <c r="F180" s="1" t="s">
        <v>2019</v>
      </c>
      <c r="H180" s="1" t="s">
        <v>64</v>
      </c>
      <c r="I180" s="1" t="s">
        <v>2020</v>
      </c>
      <c r="J180" s="1" t="s">
        <v>2021</v>
      </c>
      <c r="O180" s="1" t="s">
        <v>234</v>
      </c>
      <c r="R180" s="1">
        <v>110</v>
      </c>
      <c r="AB180" s="4">
        <v>36892</v>
      </c>
      <c r="AE180" s="14" t="s">
        <v>2022</v>
      </c>
      <c r="AF180" s="1" t="s">
        <v>2023</v>
      </c>
      <c r="AM180" s="66" t="str">
        <f t="shared" si="2"/>
        <v/>
      </c>
    </row>
    <row r="181" spans="1:39" ht="16.2" x14ac:dyDescent="0.35">
      <c r="A181" s="1" t="s">
        <v>26</v>
      </c>
      <c r="B181" s="1">
        <v>3</v>
      </c>
      <c r="C181" s="1" t="s">
        <v>1214</v>
      </c>
      <c r="F181" s="1" t="s">
        <v>671</v>
      </c>
      <c r="H181" s="1" t="s">
        <v>671</v>
      </c>
      <c r="I181" s="1" t="s">
        <v>2024</v>
      </c>
      <c r="J181" s="1" t="s">
        <v>1092</v>
      </c>
      <c r="O181" s="1" t="s">
        <v>234</v>
      </c>
      <c r="AA181" s="1" t="s">
        <v>1212</v>
      </c>
      <c r="AF181" s="1" t="s">
        <v>2025</v>
      </c>
      <c r="AH181" s="1" t="s">
        <v>1194</v>
      </c>
      <c r="AM181" s="66" t="str">
        <f t="shared" si="2"/>
        <v/>
      </c>
    </row>
    <row r="182" spans="1:39" ht="28.8" x14ac:dyDescent="0.35">
      <c r="A182" s="1" t="s">
        <v>26</v>
      </c>
      <c r="B182" s="1">
        <v>3</v>
      </c>
      <c r="C182" s="1" t="s">
        <v>1214</v>
      </c>
      <c r="F182" s="1" t="s">
        <v>2026</v>
      </c>
      <c r="H182" s="1" t="s">
        <v>253</v>
      </c>
      <c r="I182" s="1" t="s">
        <v>2027</v>
      </c>
      <c r="J182" s="1" t="s">
        <v>2590</v>
      </c>
      <c r="O182" s="1" t="s">
        <v>234</v>
      </c>
      <c r="R182" s="1">
        <v>220</v>
      </c>
      <c r="V182" s="83"/>
      <c r="AF182" s="1" t="s">
        <v>2028</v>
      </c>
      <c r="AH182" s="1" t="s">
        <v>1194</v>
      </c>
      <c r="AM182" s="66" t="str">
        <f t="shared" si="2"/>
        <v/>
      </c>
    </row>
    <row r="183" spans="1:39" ht="16.2" x14ac:dyDescent="0.35">
      <c r="A183" s="1" t="s">
        <v>26</v>
      </c>
      <c r="B183" s="1">
        <v>3</v>
      </c>
      <c r="C183" s="1" t="s">
        <v>1214</v>
      </c>
      <c r="F183" s="1" t="s">
        <v>2029</v>
      </c>
      <c r="H183" s="1" t="s">
        <v>64</v>
      </c>
      <c r="I183" s="1" t="s">
        <v>2030</v>
      </c>
      <c r="J183" s="1" t="s">
        <v>2031</v>
      </c>
      <c r="O183" s="1" t="s">
        <v>234</v>
      </c>
      <c r="R183" s="1">
        <v>110</v>
      </c>
      <c r="V183" s="1" t="s">
        <v>2032</v>
      </c>
      <c r="AA183" s="1" t="s">
        <v>1278</v>
      </c>
      <c r="AE183" s="14">
        <v>82995</v>
      </c>
      <c r="AF183" s="1" t="s">
        <v>2033</v>
      </c>
      <c r="AH183" s="1" t="s">
        <v>1194</v>
      </c>
      <c r="AM183" s="66" t="str">
        <f t="shared" si="2"/>
        <v/>
      </c>
    </row>
    <row r="184" spans="1:39" ht="16.2" x14ac:dyDescent="0.35">
      <c r="A184" s="1" t="s">
        <v>26</v>
      </c>
      <c r="B184" s="1">
        <v>3</v>
      </c>
      <c r="C184" s="1" t="s">
        <v>1214</v>
      </c>
      <c r="F184" s="1" t="s">
        <v>470</v>
      </c>
      <c r="H184" s="1" t="s">
        <v>464</v>
      </c>
      <c r="I184" s="1" t="s">
        <v>2034</v>
      </c>
      <c r="J184" s="1" t="s">
        <v>2590</v>
      </c>
      <c r="O184" s="1" t="s">
        <v>234</v>
      </c>
      <c r="AE184" s="14" t="s">
        <v>2035</v>
      </c>
      <c r="AF184" s="1" t="s">
        <v>1217</v>
      </c>
      <c r="AH184" s="1" t="s">
        <v>1272</v>
      </c>
      <c r="AM184" s="66" t="str">
        <f t="shared" si="2"/>
        <v/>
      </c>
    </row>
    <row r="185" spans="1:39" ht="28.8" x14ac:dyDescent="0.35">
      <c r="A185" s="1" t="s">
        <v>26</v>
      </c>
      <c r="B185" s="1">
        <v>3</v>
      </c>
      <c r="C185" s="1" t="s">
        <v>1871</v>
      </c>
      <c r="F185" s="1" t="s">
        <v>2036</v>
      </c>
      <c r="H185" s="1" t="s">
        <v>1752</v>
      </c>
      <c r="I185" s="1" t="s">
        <v>2037</v>
      </c>
      <c r="J185" s="1" t="s">
        <v>2038</v>
      </c>
      <c r="O185" s="1" t="s">
        <v>234</v>
      </c>
      <c r="R185" s="1">
        <v>110</v>
      </c>
      <c r="V185" s="1" t="s">
        <v>2039</v>
      </c>
      <c r="AE185" s="14" t="s">
        <v>2040</v>
      </c>
      <c r="AF185" s="1" t="s">
        <v>2041</v>
      </c>
      <c r="AH185" s="1" t="s">
        <v>1194</v>
      </c>
      <c r="AM185" s="66" t="str">
        <f t="shared" si="2"/>
        <v/>
      </c>
    </row>
    <row r="186" spans="1:39" ht="28.8" x14ac:dyDescent="0.35">
      <c r="A186" s="1" t="s">
        <v>26</v>
      </c>
      <c r="B186" s="1">
        <v>3</v>
      </c>
      <c r="C186" s="1" t="s">
        <v>1871</v>
      </c>
      <c r="F186" s="1" t="s">
        <v>2036</v>
      </c>
      <c r="H186" s="1" t="s">
        <v>1752</v>
      </c>
      <c r="I186" s="1" t="s">
        <v>2042</v>
      </c>
      <c r="J186" s="1" t="s">
        <v>1754</v>
      </c>
      <c r="O186" s="1" t="s">
        <v>234</v>
      </c>
      <c r="R186" s="1">
        <v>120</v>
      </c>
      <c r="S186" s="1">
        <v>230</v>
      </c>
      <c r="V186" s="1" t="s">
        <v>2043</v>
      </c>
      <c r="AA186" s="1" t="s">
        <v>1248</v>
      </c>
      <c r="AC186" s="83"/>
      <c r="AD186" s="83"/>
      <c r="AE186" s="86"/>
      <c r="AF186" s="1" t="s">
        <v>2041</v>
      </c>
      <c r="AH186" s="1" t="s">
        <v>1194</v>
      </c>
      <c r="AM186" s="66" t="str">
        <f t="shared" si="2"/>
        <v/>
      </c>
    </row>
    <row r="187" spans="1:39" ht="28.8" x14ac:dyDescent="0.35">
      <c r="A187" s="1" t="s">
        <v>26</v>
      </c>
      <c r="B187" s="1">
        <v>3</v>
      </c>
      <c r="C187" s="1" t="s">
        <v>1871</v>
      </c>
      <c r="F187" s="1" t="s">
        <v>2036</v>
      </c>
      <c r="H187" s="1" t="s">
        <v>1752</v>
      </c>
      <c r="I187" s="1" t="s">
        <v>2044</v>
      </c>
      <c r="J187" s="1" t="s">
        <v>2045</v>
      </c>
      <c r="O187" s="1" t="s">
        <v>234</v>
      </c>
      <c r="R187" s="1">
        <v>100</v>
      </c>
      <c r="S187" s="1">
        <v>240</v>
      </c>
      <c r="AA187" s="1" t="s">
        <v>1248</v>
      </c>
      <c r="AE187" s="14" t="s">
        <v>2046</v>
      </c>
      <c r="AF187" s="1" t="s">
        <v>2041</v>
      </c>
      <c r="AH187" s="1" t="s">
        <v>1194</v>
      </c>
      <c r="AM187" s="66" t="str">
        <f t="shared" si="2"/>
        <v/>
      </c>
    </row>
    <row r="188" spans="1:39" ht="28.8" x14ac:dyDescent="0.35">
      <c r="A188" s="1" t="s">
        <v>26</v>
      </c>
      <c r="B188" s="1">
        <v>3</v>
      </c>
      <c r="C188" s="1" t="s">
        <v>1871</v>
      </c>
      <c r="F188" s="1" t="s">
        <v>2036</v>
      </c>
      <c r="H188" s="1" t="s">
        <v>1752</v>
      </c>
      <c r="I188" s="1" t="s">
        <v>2047</v>
      </c>
      <c r="J188" s="1" t="s">
        <v>2045</v>
      </c>
      <c r="O188" s="1" t="s">
        <v>234</v>
      </c>
      <c r="R188" s="1">
        <v>100</v>
      </c>
      <c r="AA188" s="1" t="s">
        <v>1248</v>
      </c>
      <c r="AE188" s="86" t="s">
        <v>2048</v>
      </c>
      <c r="AF188" s="1" t="s">
        <v>2041</v>
      </c>
      <c r="AH188" s="1" t="s">
        <v>1194</v>
      </c>
      <c r="AM188" s="66" t="str">
        <f t="shared" si="2"/>
        <v/>
      </c>
    </row>
    <row r="189" spans="1:39" ht="28.8" x14ac:dyDescent="0.35">
      <c r="A189" s="1" t="s">
        <v>26</v>
      </c>
      <c r="B189" s="1">
        <v>3</v>
      </c>
      <c r="C189" s="1" t="s">
        <v>1871</v>
      </c>
      <c r="F189" s="1" t="s">
        <v>2049</v>
      </c>
      <c r="H189" s="1" t="s">
        <v>2049</v>
      </c>
      <c r="I189" s="1" t="s">
        <v>2050</v>
      </c>
      <c r="J189" s="1" t="s">
        <v>2051</v>
      </c>
      <c r="O189" s="1" t="s">
        <v>234</v>
      </c>
      <c r="W189" s="1">
        <v>0</v>
      </c>
      <c r="X189" s="1" t="s">
        <v>1190</v>
      </c>
      <c r="Y189" s="1">
        <v>25</v>
      </c>
      <c r="Z189" s="1" t="s">
        <v>1190</v>
      </c>
      <c r="AA189" s="1" t="s">
        <v>790</v>
      </c>
      <c r="AF189" s="1" t="s">
        <v>2052</v>
      </c>
      <c r="AH189" s="1" t="s">
        <v>1194</v>
      </c>
      <c r="AM189" s="66" t="str">
        <f t="shared" si="2"/>
        <v/>
      </c>
    </row>
    <row r="190" spans="1:39" ht="28.8" x14ac:dyDescent="0.35">
      <c r="A190" s="1" t="s">
        <v>26</v>
      </c>
      <c r="B190" s="1">
        <v>3</v>
      </c>
      <c r="C190" s="1" t="s">
        <v>1871</v>
      </c>
      <c r="F190" s="1" t="s">
        <v>2049</v>
      </c>
      <c r="H190" s="1" t="s">
        <v>2049</v>
      </c>
      <c r="I190" s="1" t="s">
        <v>2053</v>
      </c>
      <c r="J190" s="1" t="s">
        <v>2051</v>
      </c>
      <c r="O190" s="1" t="s">
        <v>234</v>
      </c>
      <c r="W190" s="1">
        <v>25</v>
      </c>
      <c r="X190" s="1" t="s">
        <v>1190</v>
      </c>
      <c r="Y190" s="1">
        <v>50</v>
      </c>
      <c r="Z190" s="1" t="s">
        <v>1190</v>
      </c>
      <c r="AA190" s="1" t="s">
        <v>790</v>
      </c>
      <c r="AE190" s="86"/>
      <c r="AF190" s="1" t="s">
        <v>2052</v>
      </c>
      <c r="AH190" s="1" t="s">
        <v>1194</v>
      </c>
      <c r="AM190" s="66" t="str">
        <f t="shared" si="2"/>
        <v/>
      </c>
    </row>
    <row r="191" spans="1:39" ht="28.8" x14ac:dyDescent="0.35">
      <c r="A191" s="1" t="s">
        <v>26</v>
      </c>
      <c r="B191" s="1">
        <v>3</v>
      </c>
      <c r="C191" s="1" t="s">
        <v>1871</v>
      </c>
      <c r="F191" s="1" t="s">
        <v>2054</v>
      </c>
      <c r="H191" s="1" t="s">
        <v>2054</v>
      </c>
      <c r="I191" s="1" t="s">
        <v>2055</v>
      </c>
      <c r="J191" s="1" t="s">
        <v>2051</v>
      </c>
      <c r="O191" s="1" t="s">
        <v>1187</v>
      </c>
      <c r="V191" s="1" t="s">
        <v>2056</v>
      </c>
      <c r="W191" s="1">
        <v>0</v>
      </c>
      <c r="X191" s="1" t="s">
        <v>1190</v>
      </c>
      <c r="Y191" s="1">
        <v>200</v>
      </c>
      <c r="Z191" s="1" t="s">
        <v>1190</v>
      </c>
      <c r="AA191" s="1" t="s">
        <v>790</v>
      </c>
      <c r="AE191" s="86"/>
      <c r="AF191" s="1" t="s">
        <v>2052</v>
      </c>
      <c r="AH191" s="1" t="s">
        <v>1194</v>
      </c>
      <c r="AI191" s="4">
        <v>44838</v>
      </c>
      <c r="AM191" s="66" t="str">
        <f t="shared" si="2"/>
        <v/>
      </c>
    </row>
    <row r="192" spans="1:39" ht="28.8" x14ac:dyDescent="0.35">
      <c r="A192" s="1" t="s">
        <v>26</v>
      </c>
      <c r="B192" s="1">
        <v>3</v>
      </c>
      <c r="C192" s="1" t="s">
        <v>1871</v>
      </c>
      <c r="F192" s="1" t="s">
        <v>2054</v>
      </c>
      <c r="H192" s="1" t="s">
        <v>2054</v>
      </c>
      <c r="I192" s="1" t="s">
        <v>2057</v>
      </c>
      <c r="J192" s="1" t="s">
        <v>2051</v>
      </c>
      <c r="O192" s="1" t="s">
        <v>234</v>
      </c>
      <c r="W192" s="1">
        <v>0</v>
      </c>
      <c r="X192" s="1" t="s">
        <v>1190</v>
      </c>
      <c r="Y192" s="1">
        <v>250</v>
      </c>
      <c r="Z192" s="1" t="s">
        <v>1190</v>
      </c>
      <c r="AA192" s="1" t="s">
        <v>790</v>
      </c>
      <c r="AE192" s="86"/>
      <c r="AF192" s="1" t="s">
        <v>2052</v>
      </c>
      <c r="AH192" s="1" t="s">
        <v>1194</v>
      </c>
      <c r="AM192" s="66" t="str">
        <f t="shared" si="2"/>
        <v/>
      </c>
    </row>
    <row r="193" spans="1:39" ht="16.2" x14ac:dyDescent="0.35">
      <c r="A193" s="1" t="s">
        <v>26</v>
      </c>
      <c r="B193" s="1">
        <v>3</v>
      </c>
      <c r="C193" s="1" t="s">
        <v>2590</v>
      </c>
      <c r="F193" s="1" t="s">
        <v>2058</v>
      </c>
      <c r="H193" s="1" t="s">
        <v>2059</v>
      </c>
      <c r="I193" s="1" t="s">
        <v>2060</v>
      </c>
      <c r="J193" s="1" t="s">
        <v>2061</v>
      </c>
      <c r="O193" s="1" t="s">
        <v>914</v>
      </c>
      <c r="R193" s="1">
        <v>220</v>
      </c>
      <c r="V193" s="1" t="s">
        <v>2062</v>
      </c>
      <c r="AA193" s="1" t="s">
        <v>860</v>
      </c>
      <c r="AE193" s="86" t="s">
        <v>2063</v>
      </c>
      <c r="AF193" s="1" t="s">
        <v>2064</v>
      </c>
      <c r="AH193" s="1" t="s">
        <v>2065</v>
      </c>
      <c r="AI193" s="4">
        <v>44816</v>
      </c>
      <c r="AK193" s="2" t="s">
        <v>2066</v>
      </c>
      <c r="AM193" s="66" t="str">
        <f t="shared" si="2"/>
        <v/>
      </c>
    </row>
    <row r="194" spans="1:39" ht="43.2" x14ac:dyDescent="0.35">
      <c r="A194" s="1" t="s">
        <v>26</v>
      </c>
      <c r="B194" s="1">
        <v>3</v>
      </c>
      <c r="C194" s="1" t="s">
        <v>2067</v>
      </c>
      <c r="F194" s="1" t="s">
        <v>2068</v>
      </c>
      <c r="G194" s="1" t="s">
        <v>2068</v>
      </c>
      <c r="H194" s="1" t="s">
        <v>64</v>
      </c>
      <c r="I194" s="1" t="s">
        <v>2069</v>
      </c>
      <c r="J194" s="1" t="s">
        <v>2590</v>
      </c>
      <c r="AM194" s="66" t="str">
        <f t="shared" si="2"/>
        <v/>
      </c>
    </row>
    <row r="195" spans="1:39" ht="16.2" x14ac:dyDescent="0.35">
      <c r="A195" s="1" t="s">
        <v>26</v>
      </c>
      <c r="B195" s="1">
        <v>3</v>
      </c>
      <c r="C195" s="1" t="s">
        <v>2070</v>
      </c>
      <c r="F195" s="1" t="s">
        <v>2071</v>
      </c>
      <c r="H195" s="1" t="s">
        <v>671</v>
      </c>
      <c r="I195" s="1" t="s">
        <v>2072</v>
      </c>
      <c r="J195" s="1" t="s">
        <v>1084</v>
      </c>
      <c r="O195" s="1" t="s">
        <v>1113</v>
      </c>
      <c r="Q195" s="1" t="s">
        <v>1085</v>
      </c>
      <c r="R195" s="1">
        <v>110</v>
      </c>
      <c r="S195" s="1">
        <v>220</v>
      </c>
      <c r="T195" s="1" t="s">
        <v>1086</v>
      </c>
      <c r="V195" s="1" t="s">
        <v>1087</v>
      </c>
      <c r="AA195" s="1" t="s">
        <v>119</v>
      </c>
      <c r="AB195" s="4">
        <v>36161</v>
      </c>
      <c r="AE195" s="14" t="s">
        <v>2073</v>
      </c>
      <c r="AF195" s="1" t="s">
        <v>2074</v>
      </c>
      <c r="AH195" s="1" t="s">
        <v>862</v>
      </c>
      <c r="AI195" s="4">
        <v>44869</v>
      </c>
      <c r="AM195" s="66" t="str">
        <f t="shared" ref="AM195:AM258" si="3">ExtrairCaminhoHiperlink(AJ195)</f>
        <v/>
      </c>
    </row>
    <row r="196" spans="1:39" ht="28.8" x14ac:dyDescent="0.35">
      <c r="A196" s="1" t="s">
        <v>26</v>
      </c>
      <c r="B196" s="1">
        <v>3</v>
      </c>
      <c r="C196" s="1" t="s">
        <v>2075</v>
      </c>
      <c r="F196" s="1" t="s">
        <v>2076</v>
      </c>
      <c r="H196" s="1" t="s">
        <v>561</v>
      </c>
      <c r="I196" s="1" t="s">
        <v>2077</v>
      </c>
      <c r="J196" s="1" t="s">
        <v>1921</v>
      </c>
      <c r="O196" s="1" t="s">
        <v>360</v>
      </c>
      <c r="S196" s="1">
        <v>220</v>
      </c>
      <c r="T196" s="1" t="s">
        <v>1085</v>
      </c>
      <c r="AA196" s="1" t="s">
        <v>119</v>
      </c>
      <c r="AE196" s="14" t="s">
        <v>2078</v>
      </c>
      <c r="AF196" s="1" t="s">
        <v>2079</v>
      </c>
      <c r="AH196" s="1" t="s">
        <v>75</v>
      </c>
      <c r="AI196" s="4">
        <v>44883</v>
      </c>
      <c r="AK196" s="2" t="s">
        <v>793</v>
      </c>
      <c r="AM196" s="66" t="str">
        <f t="shared" si="3"/>
        <v/>
      </c>
    </row>
    <row r="197" spans="1:39" ht="28.8" x14ac:dyDescent="0.35">
      <c r="A197" s="1" t="s">
        <v>26</v>
      </c>
      <c r="B197" s="1">
        <v>3</v>
      </c>
      <c r="C197" s="1" t="s">
        <v>2075</v>
      </c>
      <c r="F197" s="1" t="s">
        <v>2080</v>
      </c>
      <c r="H197" s="1" t="s">
        <v>464</v>
      </c>
      <c r="I197" s="1" t="s">
        <v>2081</v>
      </c>
      <c r="J197" s="1" t="s">
        <v>2082</v>
      </c>
      <c r="O197" s="1" t="s">
        <v>2083</v>
      </c>
      <c r="AA197" s="1" t="s">
        <v>1248</v>
      </c>
      <c r="AF197" s="1" t="s">
        <v>2084</v>
      </c>
      <c r="AH197" s="1" t="s">
        <v>1174</v>
      </c>
      <c r="AI197" s="4">
        <v>44883</v>
      </c>
      <c r="AM197" s="66" t="str">
        <f t="shared" si="3"/>
        <v/>
      </c>
    </row>
    <row r="198" spans="1:39" ht="16.2" x14ac:dyDescent="0.35">
      <c r="A198" s="1" t="s">
        <v>26</v>
      </c>
      <c r="B198" s="1">
        <v>3</v>
      </c>
      <c r="C198" s="1" t="s">
        <v>2580</v>
      </c>
      <c r="F198" s="1" t="s">
        <v>2085</v>
      </c>
      <c r="H198" s="1" t="s">
        <v>1161</v>
      </c>
      <c r="I198" s="1" t="s">
        <v>2086</v>
      </c>
      <c r="J198" s="1" t="s">
        <v>2087</v>
      </c>
      <c r="O198" s="1" t="s">
        <v>1165</v>
      </c>
      <c r="U198" s="1" t="s">
        <v>2088</v>
      </c>
      <c r="AF198" s="1" t="s">
        <v>2089</v>
      </c>
      <c r="AH198" s="1" t="s">
        <v>2090</v>
      </c>
      <c r="AI198" s="4">
        <v>45064</v>
      </c>
      <c r="AM198" s="66" t="str">
        <f t="shared" si="3"/>
        <v/>
      </c>
    </row>
    <row r="199" spans="1:39" ht="32.4" x14ac:dyDescent="0.35">
      <c r="A199" s="1" t="s">
        <v>26</v>
      </c>
      <c r="B199" s="1">
        <v>4</v>
      </c>
      <c r="C199" s="1" t="s">
        <v>357</v>
      </c>
      <c r="F199" s="1" t="s">
        <v>335</v>
      </c>
      <c r="H199" s="1" t="s">
        <v>335</v>
      </c>
      <c r="I199" s="1" t="s">
        <v>358</v>
      </c>
      <c r="J199" s="1" t="s">
        <v>359</v>
      </c>
      <c r="O199" s="1" t="s">
        <v>360</v>
      </c>
      <c r="R199" s="1">
        <v>220</v>
      </c>
      <c r="T199" s="1" t="s">
        <v>69</v>
      </c>
      <c r="V199" s="1" t="s">
        <v>361</v>
      </c>
      <c r="AA199" s="1" t="s">
        <v>83</v>
      </c>
      <c r="AC199" s="1" t="s">
        <v>84</v>
      </c>
      <c r="AF199" s="1" t="s">
        <v>340</v>
      </c>
      <c r="AH199" s="1" t="s">
        <v>362</v>
      </c>
      <c r="AI199" s="4">
        <v>44838</v>
      </c>
      <c r="AJ199" s="12" t="s">
        <v>363</v>
      </c>
      <c r="AM199" s="66" t="str">
        <f t="shared" si="3"/>
        <v>https://ensinoiptbr.sharepoint.com/:f:/s/ControledeAtivos/EuuP0pzwIJlKlJc0DsmR1vwB3rYkvm3zKInvFwWtWeFHAA?e=v8s49f</v>
      </c>
    </row>
    <row r="200" spans="1:39" ht="81" x14ac:dyDescent="0.35">
      <c r="A200" s="1" t="s">
        <v>26</v>
      </c>
      <c r="B200" s="1">
        <v>4</v>
      </c>
      <c r="C200" s="1" t="s">
        <v>832</v>
      </c>
      <c r="D200" s="1" t="s">
        <v>739</v>
      </c>
      <c r="F200" s="1" t="s">
        <v>749</v>
      </c>
      <c r="H200" s="1" t="s">
        <v>750</v>
      </c>
      <c r="I200" s="1" t="s">
        <v>751</v>
      </c>
      <c r="J200" s="1" t="s">
        <v>752</v>
      </c>
      <c r="O200" s="1" t="s">
        <v>234</v>
      </c>
      <c r="P200" s="5">
        <v>2.2000000000000002</v>
      </c>
      <c r="Q200" s="5" t="s">
        <v>68</v>
      </c>
      <c r="R200" s="1">
        <v>220</v>
      </c>
      <c r="V200" s="1" t="s">
        <v>753</v>
      </c>
      <c r="AA200" s="1" t="s">
        <v>119</v>
      </c>
      <c r="AB200" s="4">
        <v>41275</v>
      </c>
      <c r="AC200" s="1" t="s">
        <v>745</v>
      </c>
      <c r="AD200" s="1" t="s">
        <v>754</v>
      </c>
      <c r="AE200" s="14" t="s">
        <v>755</v>
      </c>
      <c r="AF200" s="1" t="s">
        <v>756</v>
      </c>
      <c r="AH200" s="1" t="s">
        <v>75</v>
      </c>
      <c r="AI200" s="4">
        <v>44833</v>
      </c>
      <c r="AJ200" s="12" t="s">
        <v>757</v>
      </c>
      <c r="AM200" s="66" t="str">
        <f t="shared" si="3"/>
        <v>https://ensinoiptbr-my.sharepoint.com/personal/ericaugustin_ipt_br/Documents/Documentos/Prototipos/2023/Projeto Controle Ativos/SistemaAtivos2/:f:/s/ControledeAtivos/Esq83F54_gxDs5DeA7rQh-wBhNELejftNtNYSo6w65NeBQ?e=mEmYTc</v>
      </c>
    </row>
    <row r="201" spans="1:39" ht="81" x14ac:dyDescent="0.35">
      <c r="A201" s="1" t="s">
        <v>26</v>
      </c>
      <c r="B201" s="1">
        <v>4</v>
      </c>
      <c r="C201" s="1" t="s">
        <v>832</v>
      </c>
      <c r="D201" s="1" t="s">
        <v>739</v>
      </c>
      <c r="F201" s="1" t="s">
        <v>764</v>
      </c>
      <c r="H201" s="1" t="s">
        <v>765</v>
      </c>
      <c r="I201" s="1" t="s">
        <v>766</v>
      </c>
      <c r="J201" s="1" t="s">
        <v>767</v>
      </c>
      <c r="O201" s="1" t="s">
        <v>234</v>
      </c>
      <c r="V201" s="1" t="s">
        <v>768</v>
      </c>
      <c r="W201" s="1">
        <v>2</v>
      </c>
      <c r="X201" s="1" t="s">
        <v>769</v>
      </c>
      <c r="AA201" s="1" t="s">
        <v>119</v>
      </c>
      <c r="AB201" s="4">
        <v>32874</v>
      </c>
      <c r="AE201" s="14">
        <v>31402</v>
      </c>
      <c r="AF201" s="1" t="s">
        <v>770</v>
      </c>
      <c r="AH201" s="1" t="s">
        <v>333</v>
      </c>
      <c r="AI201" s="4">
        <v>44833</v>
      </c>
      <c r="AJ201" s="12" t="s">
        <v>771</v>
      </c>
      <c r="AM201" s="66" t="str">
        <f t="shared" si="3"/>
        <v>https://ensinoiptbr-my.sharepoint.com/personal/ericaugustin_ipt_br/Documents/Documentos/Prototipos/2023/Projeto Controle Ativos/SistemaAtivos2/:f:/s/ControledeAtivos/El05fVnjWpNNicbr8CHjYl0BcMQaqr0CvMVObiQN87Df5g?e=imlmPT</v>
      </c>
    </row>
    <row r="202" spans="1:39" ht="81" x14ac:dyDescent="0.35">
      <c r="A202" s="1" t="s">
        <v>26</v>
      </c>
      <c r="B202" s="1">
        <v>4</v>
      </c>
      <c r="C202" s="1" t="s">
        <v>832</v>
      </c>
      <c r="D202" s="1" t="s">
        <v>739</v>
      </c>
      <c r="F202" s="1" t="s">
        <v>772</v>
      </c>
      <c r="H202" s="1" t="s">
        <v>671</v>
      </c>
      <c r="I202" s="1" t="s">
        <v>773</v>
      </c>
      <c r="J202" s="1" t="s">
        <v>774</v>
      </c>
      <c r="O202" s="1" t="s">
        <v>234</v>
      </c>
      <c r="R202" s="1">
        <v>12</v>
      </c>
      <c r="U202" s="1" t="s">
        <v>775</v>
      </c>
      <c r="V202" s="1" t="s">
        <v>776</v>
      </c>
      <c r="AA202" s="1" t="s">
        <v>119</v>
      </c>
      <c r="AB202" s="4">
        <v>41275</v>
      </c>
      <c r="AC202" s="1" t="s">
        <v>745</v>
      </c>
      <c r="AE202" s="14">
        <v>4779</v>
      </c>
      <c r="AF202" s="1" t="s">
        <v>777</v>
      </c>
      <c r="AI202" s="4">
        <v>44833</v>
      </c>
      <c r="AJ202" s="12" t="s">
        <v>778</v>
      </c>
      <c r="AK202" s="2" t="s">
        <v>779</v>
      </c>
      <c r="AM202" s="66" t="str">
        <f t="shared" si="3"/>
        <v>https://ensinoiptbr-my.sharepoint.com/personal/ericaugustin_ipt_br/Documents/Documentos/Prototipos/2023/Projeto Controle Ativos/SistemaAtivos2/:f:/s/ControledeAtivos/Eo0BA17GMExJnmWtLTXAyoUBIb_cjROslyFVMFU3K0PD2g?e=8idIGy</v>
      </c>
    </row>
    <row r="203" spans="1:39" ht="81" x14ac:dyDescent="0.35">
      <c r="A203" s="1" t="s">
        <v>26</v>
      </c>
      <c r="B203" s="1">
        <v>4</v>
      </c>
      <c r="C203" s="1" t="s">
        <v>832</v>
      </c>
      <c r="D203" s="1" t="s">
        <v>739</v>
      </c>
      <c r="F203" s="1" t="s">
        <v>780</v>
      </c>
      <c r="H203" s="1" t="s">
        <v>671</v>
      </c>
      <c r="I203" s="1" t="s">
        <v>781</v>
      </c>
      <c r="J203" s="1" t="s">
        <v>774</v>
      </c>
      <c r="O203" s="1" t="s">
        <v>234</v>
      </c>
      <c r="R203" s="1">
        <v>85</v>
      </c>
      <c r="S203" s="1">
        <v>250</v>
      </c>
      <c r="V203" s="1" t="s">
        <v>782</v>
      </c>
      <c r="W203" s="1">
        <v>2</v>
      </c>
      <c r="X203" s="1" t="s">
        <v>769</v>
      </c>
      <c r="AA203" s="1" t="s">
        <v>119</v>
      </c>
      <c r="AB203" s="4">
        <v>41275</v>
      </c>
      <c r="AC203" s="1" t="s">
        <v>745</v>
      </c>
      <c r="AE203" s="14">
        <v>4780</v>
      </c>
      <c r="AF203" s="1" t="s">
        <v>777</v>
      </c>
      <c r="AH203" s="1" t="s">
        <v>75</v>
      </c>
      <c r="AI203" s="4">
        <v>44833</v>
      </c>
      <c r="AJ203" s="12" t="s">
        <v>783</v>
      </c>
      <c r="AK203" s="2" t="s">
        <v>784</v>
      </c>
      <c r="AM203" s="66" t="str">
        <f t="shared" si="3"/>
        <v>https://ensinoiptbr-my.sharepoint.com/personal/ericaugustin_ipt_br/Documents/Documentos/Prototipos/2023/Projeto Controle Ativos/SistemaAtivos2/:f:/s/ControledeAtivos/ErCLFIyMHNBKhdytttu47AkBP2_y0sRQJo1Y4EsJ6EFh8g?e=FRckzb</v>
      </c>
    </row>
    <row r="204" spans="1:39" ht="32.4" x14ac:dyDescent="0.35">
      <c r="A204" s="1" t="s">
        <v>26</v>
      </c>
      <c r="B204" s="1">
        <v>4</v>
      </c>
      <c r="C204" s="1" t="s">
        <v>832</v>
      </c>
      <c r="D204" s="1" t="s">
        <v>785</v>
      </c>
      <c r="F204" s="1" t="s">
        <v>786</v>
      </c>
      <c r="H204" s="1" t="s">
        <v>64</v>
      </c>
      <c r="I204" s="1" t="s">
        <v>787</v>
      </c>
      <c r="J204" s="1" t="s">
        <v>788</v>
      </c>
      <c r="O204" s="1" t="s">
        <v>360</v>
      </c>
      <c r="R204" s="1">
        <v>110</v>
      </c>
      <c r="S204" s="1">
        <v>220</v>
      </c>
      <c r="T204" s="1" t="s">
        <v>789</v>
      </c>
      <c r="V204" s="1">
        <v>371141</v>
      </c>
      <c r="AA204" s="1" t="s">
        <v>790</v>
      </c>
      <c r="AE204" s="14" t="s">
        <v>791</v>
      </c>
      <c r="AF204" s="1" t="s">
        <v>792</v>
      </c>
      <c r="AH204" s="1" t="s">
        <v>75</v>
      </c>
      <c r="AI204" s="4">
        <v>44848</v>
      </c>
      <c r="AJ204" s="12" t="s">
        <v>787</v>
      </c>
      <c r="AK204" s="2" t="s">
        <v>793</v>
      </c>
      <c r="AM204" s="66" t="str">
        <f t="shared" si="3"/>
        <v>https://ensinoiptbr.sharepoint.com/:f:/s/ControledeAtivos/EkSCeu4bS8tAl7Xt6SViadABXQLpcSaVcKNMReXSdwV62g?e=saN090</v>
      </c>
    </row>
    <row r="205" spans="1:39" ht="86.4" x14ac:dyDescent="0.35">
      <c r="A205" s="1" t="s">
        <v>26</v>
      </c>
      <c r="B205" s="1">
        <v>4</v>
      </c>
      <c r="C205" s="1" t="s">
        <v>832</v>
      </c>
      <c r="D205" s="1" t="s">
        <v>785</v>
      </c>
      <c r="F205" s="1" t="s">
        <v>794</v>
      </c>
      <c r="H205" s="1" t="s">
        <v>64</v>
      </c>
      <c r="I205" s="1" t="s">
        <v>795</v>
      </c>
      <c r="J205" s="1" t="s">
        <v>796</v>
      </c>
      <c r="O205" s="1" t="s">
        <v>234</v>
      </c>
      <c r="R205" s="1">
        <v>100</v>
      </c>
      <c r="S205" s="1">
        <v>240</v>
      </c>
      <c r="V205" s="1" t="s">
        <v>797</v>
      </c>
      <c r="AB205" s="77">
        <v>37987</v>
      </c>
      <c r="AE205" s="14" t="s">
        <v>798</v>
      </c>
      <c r="AF205" s="1" t="s">
        <v>799</v>
      </c>
      <c r="AH205" s="1" t="s">
        <v>800</v>
      </c>
      <c r="AI205" s="4">
        <v>44833</v>
      </c>
      <c r="AJ205" s="12" t="s">
        <v>801</v>
      </c>
      <c r="AK205" s="1" t="s">
        <v>802</v>
      </c>
      <c r="AM205" s="66" t="str">
        <f t="shared" si="3"/>
        <v>https://ensinoiptbr.sharepoint.com/:f:/s/ControledeAtivos/EnyVbZKv7H1HjJanJzYbGywBcalwWqSmewVI9nOO9f23Mw?e=SXHPlt</v>
      </c>
    </row>
    <row r="206" spans="1:39" ht="32.4" x14ac:dyDescent="0.35">
      <c r="A206" s="1" t="s">
        <v>26</v>
      </c>
      <c r="B206" s="1">
        <v>4</v>
      </c>
      <c r="C206" s="1" t="s">
        <v>832</v>
      </c>
      <c r="D206" s="1" t="s">
        <v>739</v>
      </c>
      <c r="F206" s="1" t="s">
        <v>803</v>
      </c>
      <c r="H206" s="1" t="s">
        <v>64</v>
      </c>
      <c r="I206" s="1" t="s">
        <v>804</v>
      </c>
      <c r="J206" s="1" t="s">
        <v>805</v>
      </c>
      <c r="O206" s="1" t="s">
        <v>234</v>
      </c>
      <c r="V206" s="1" t="s">
        <v>806</v>
      </c>
      <c r="AA206" s="1" t="s">
        <v>807</v>
      </c>
      <c r="AD206" s="1" t="s">
        <v>754</v>
      </c>
      <c r="AE206" s="14" t="s">
        <v>755</v>
      </c>
      <c r="AF206" s="1" t="s">
        <v>808</v>
      </c>
      <c r="AH206" s="1" t="s">
        <v>75</v>
      </c>
      <c r="AI206" s="4">
        <v>44833</v>
      </c>
      <c r="AJ206" s="12" t="s">
        <v>795</v>
      </c>
      <c r="AM206" s="66" t="str">
        <f t="shared" si="3"/>
        <v>https://ensinoiptbr.sharepoint.com/:f:/s/ControledeAtivos/Eoy9EIkrDBhOlWWaMyWK5yYBuz5bN-xV0_a4mucJoRiNog?e=8kHHzq</v>
      </c>
    </row>
    <row r="207" spans="1:39" ht="32.4" x14ac:dyDescent="0.35">
      <c r="A207" s="1" t="s">
        <v>26</v>
      </c>
      <c r="B207" s="1">
        <v>4</v>
      </c>
      <c r="C207" s="1" t="s">
        <v>832</v>
      </c>
      <c r="D207" s="1" t="s">
        <v>739</v>
      </c>
      <c r="F207" s="1" t="s">
        <v>809</v>
      </c>
      <c r="H207" s="1" t="s">
        <v>64</v>
      </c>
      <c r="I207" s="1" t="s">
        <v>810</v>
      </c>
      <c r="J207" s="1" t="s">
        <v>811</v>
      </c>
      <c r="O207" s="1" t="s">
        <v>234</v>
      </c>
      <c r="R207" s="1">
        <v>220</v>
      </c>
      <c r="V207" s="1" t="s">
        <v>812</v>
      </c>
      <c r="AE207" s="14" t="s">
        <v>813</v>
      </c>
      <c r="AF207" s="1" t="s">
        <v>814</v>
      </c>
      <c r="AH207" s="1" t="s">
        <v>112</v>
      </c>
      <c r="AI207" s="4">
        <v>44833</v>
      </c>
      <c r="AJ207" s="12" t="s">
        <v>804</v>
      </c>
      <c r="AM207" s="66" t="str">
        <f t="shared" si="3"/>
        <v>https://ensinoiptbr.sharepoint.com/:f:/s/ControledeAtivos/EpLggTn0lk5Gv9l7b-fNtjUBu1IW-3k7IIdXii3LfhC5Ag?e=Ky1IZW</v>
      </c>
    </row>
    <row r="208" spans="1:39" ht="32.4" x14ac:dyDescent="0.35">
      <c r="A208" s="1" t="s">
        <v>26</v>
      </c>
      <c r="B208" s="1">
        <v>4</v>
      </c>
      <c r="C208" s="1" t="s">
        <v>832</v>
      </c>
      <c r="D208" s="1" t="s">
        <v>785</v>
      </c>
      <c r="F208" s="1" t="s">
        <v>815</v>
      </c>
      <c r="H208" s="1" t="s">
        <v>64</v>
      </c>
      <c r="I208" s="1" t="s">
        <v>816</v>
      </c>
      <c r="J208" s="1" t="s">
        <v>788</v>
      </c>
      <c r="O208" s="1" t="s">
        <v>360</v>
      </c>
      <c r="R208" s="1">
        <v>110</v>
      </c>
      <c r="S208" s="1">
        <v>220</v>
      </c>
      <c r="V208" s="1" t="s">
        <v>817</v>
      </c>
      <c r="AA208" s="1" t="s">
        <v>790</v>
      </c>
      <c r="AB208" s="4">
        <v>35065</v>
      </c>
      <c r="AE208" s="14" t="s">
        <v>818</v>
      </c>
      <c r="AF208" s="1" t="s">
        <v>819</v>
      </c>
      <c r="AH208" s="1" t="s">
        <v>75</v>
      </c>
      <c r="AI208" s="4">
        <v>44848</v>
      </c>
      <c r="AJ208" s="12" t="s">
        <v>816</v>
      </c>
      <c r="AM208" s="66" t="str">
        <f t="shared" si="3"/>
        <v>https://ensinoiptbr.sharepoint.com/:f:/s/ControledeAtivos/Elr_rvsz0U5DoD9tTMhE-mMBQ_gjXLoWs7Jm8JQz0X62IQ?e=nooG1I</v>
      </c>
    </row>
    <row r="209" spans="1:39" ht="32.4" x14ac:dyDescent="0.35">
      <c r="A209" s="1" t="s">
        <v>26</v>
      </c>
      <c r="B209" s="1">
        <v>4</v>
      </c>
      <c r="C209" s="1" t="s">
        <v>832</v>
      </c>
      <c r="D209" s="1" t="s">
        <v>785</v>
      </c>
      <c r="F209" s="1" t="s">
        <v>820</v>
      </c>
      <c r="H209" s="1" t="s">
        <v>64</v>
      </c>
      <c r="I209" s="1" t="s">
        <v>821</v>
      </c>
      <c r="J209" s="1" t="s">
        <v>788</v>
      </c>
      <c r="O209" s="1" t="s">
        <v>360</v>
      </c>
      <c r="R209" s="1">
        <v>110</v>
      </c>
      <c r="S209" s="1">
        <v>220</v>
      </c>
      <c r="V209" s="1" t="s">
        <v>822</v>
      </c>
      <c r="AA209" s="1" t="s">
        <v>823</v>
      </c>
      <c r="AB209" s="4">
        <v>39083</v>
      </c>
      <c r="AD209" s="1" t="s">
        <v>754</v>
      </c>
      <c r="AE209" s="14" t="s">
        <v>755</v>
      </c>
      <c r="AF209" s="1" t="s">
        <v>819</v>
      </c>
      <c r="AH209" s="1" t="s">
        <v>75</v>
      </c>
      <c r="AI209" s="4">
        <v>44848</v>
      </c>
      <c r="AJ209" s="12" t="s">
        <v>821</v>
      </c>
      <c r="AM209" s="66" t="str">
        <f t="shared" si="3"/>
        <v>https://ensinoiptbr.sharepoint.com/:f:/s/ControledeAtivos/Ep55X7-poyFEt4AyoXMoi2oBIWb4l60d9qjSyM2jnT1kvw?e=v3Bc1e</v>
      </c>
    </row>
    <row r="210" spans="1:39" ht="32.4" x14ac:dyDescent="0.35">
      <c r="A210" s="1" t="s">
        <v>26</v>
      </c>
      <c r="B210" s="1">
        <v>4</v>
      </c>
      <c r="C210" s="1" t="s">
        <v>832</v>
      </c>
      <c r="D210" s="1" t="s">
        <v>785</v>
      </c>
      <c r="F210" s="1" t="s">
        <v>824</v>
      </c>
      <c r="H210" s="1" t="s">
        <v>64</v>
      </c>
      <c r="I210" s="1" t="s">
        <v>825</v>
      </c>
      <c r="J210" s="1" t="s">
        <v>826</v>
      </c>
      <c r="O210" s="1" t="s">
        <v>360</v>
      </c>
      <c r="T210" s="1" t="s">
        <v>827</v>
      </c>
      <c r="V210" s="1" t="s">
        <v>828</v>
      </c>
      <c r="AB210" s="77"/>
      <c r="AE210" s="14" t="s">
        <v>829</v>
      </c>
      <c r="AF210" s="1" t="s">
        <v>830</v>
      </c>
      <c r="AH210" s="1" t="s">
        <v>831</v>
      </c>
      <c r="AI210" s="4">
        <v>44848</v>
      </c>
      <c r="AJ210" s="12" t="s">
        <v>825</v>
      </c>
      <c r="AK210" s="1"/>
      <c r="AM210" s="66" t="str">
        <f t="shared" si="3"/>
        <v>https://ensinoiptbr.sharepoint.com/:f:/s/ControledeAtivos/ErdjII2AUOZNpC3MzWamNQoB6gerNsktF3jEla9xDoAUlQ?e=NeAEAb</v>
      </c>
    </row>
    <row r="211" spans="1:39" ht="32.4" x14ac:dyDescent="0.35">
      <c r="A211" s="1" t="s">
        <v>26</v>
      </c>
      <c r="B211" s="1">
        <v>4</v>
      </c>
      <c r="C211" s="1" t="s">
        <v>832</v>
      </c>
      <c r="F211" s="1" t="s">
        <v>833</v>
      </c>
      <c r="H211" s="1" t="s">
        <v>64</v>
      </c>
      <c r="I211" s="1" t="s">
        <v>834</v>
      </c>
      <c r="J211" s="1" t="s">
        <v>835</v>
      </c>
      <c r="O211" s="1" t="s">
        <v>360</v>
      </c>
      <c r="V211" s="1" t="s">
        <v>836</v>
      </c>
      <c r="AE211" s="14" t="s">
        <v>837</v>
      </c>
      <c r="AF211" s="1" t="s">
        <v>838</v>
      </c>
      <c r="AH211" s="1" t="s">
        <v>839</v>
      </c>
      <c r="AI211" s="4">
        <v>44838</v>
      </c>
      <c r="AJ211" s="12" t="s">
        <v>834</v>
      </c>
      <c r="AM211" s="66" t="str">
        <f t="shared" si="3"/>
        <v>https://ensinoiptbr.sharepoint.com/:f:/s/ControledeAtivos/EtDWBg7sj7hGmen2wsmGTaQBD4b2CLCN-3LxdPtgzRO5kg?e=TNv4a6</v>
      </c>
    </row>
    <row r="212" spans="1:39" ht="32.4" x14ac:dyDescent="0.35">
      <c r="A212" s="1" t="s">
        <v>26</v>
      </c>
      <c r="B212" s="1">
        <v>4</v>
      </c>
      <c r="C212" s="1" t="s">
        <v>832</v>
      </c>
      <c r="D212" s="1" t="s">
        <v>785</v>
      </c>
      <c r="F212" s="1" t="s">
        <v>840</v>
      </c>
      <c r="H212" s="1" t="s">
        <v>162</v>
      </c>
      <c r="I212" s="1" t="s">
        <v>841</v>
      </c>
      <c r="J212" s="1" t="s">
        <v>842</v>
      </c>
      <c r="O212" s="1" t="s">
        <v>234</v>
      </c>
      <c r="P212" s="1">
        <v>1</v>
      </c>
      <c r="Q212" s="1" t="s">
        <v>198</v>
      </c>
      <c r="R212" s="1">
        <v>220</v>
      </c>
      <c r="V212" s="1" t="s">
        <v>843</v>
      </c>
      <c r="AA212" s="1" t="s">
        <v>807</v>
      </c>
      <c r="AB212" s="77">
        <v>41275</v>
      </c>
      <c r="AE212" s="14" t="s">
        <v>844</v>
      </c>
      <c r="AF212" s="1" t="s">
        <v>845</v>
      </c>
      <c r="AH212" s="1" t="s">
        <v>75</v>
      </c>
      <c r="AI212" s="4">
        <v>44838</v>
      </c>
      <c r="AJ212" s="12" t="s">
        <v>841</v>
      </c>
      <c r="AK212" s="2" t="s">
        <v>846</v>
      </c>
      <c r="AM212" s="66" t="str">
        <f t="shared" si="3"/>
        <v>https://ensinoiptbr.sharepoint.com/:f:/s/ControledeAtivos/Elqwkt0qKFdFqD31HzaULxkBDC0DfPgb0fpPyZjCkoiKrA?e=4NHQII</v>
      </c>
    </row>
    <row r="213" spans="1:39" ht="32.4" x14ac:dyDescent="0.35">
      <c r="A213" s="1" t="s">
        <v>26</v>
      </c>
      <c r="B213" s="1">
        <v>4</v>
      </c>
      <c r="C213" s="1" t="s">
        <v>832</v>
      </c>
      <c r="D213" s="1" t="s">
        <v>739</v>
      </c>
      <c r="F213" s="1" t="s">
        <v>847</v>
      </c>
      <c r="H213" s="1" t="s">
        <v>750</v>
      </c>
      <c r="I213" s="1" t="s">
        <v>848</v>
      </c>
      <c r="J213" s="1" t="s">
        <v>849</v>
      </c>
      <c r="O213" s="1" t="s">
        <v>234</v>
      </c>
      <c r="P213" s="5">
        <v>3</v>
      </c>
      <c r="Q213" s="5" t="s">
        <v>68</v>
      </c>
      <c r="R213" s="1">
        <v>220</v>
      </c>
      <c r="V213" s="1" t="s">
        <v>850</v>
      </c>
      <c r="AE213" s="14" t="s">
        <v>851</v>
      </c>
      <c r="AF213" s="1" t="s">
        <v>852</v>
      </c>
      <c r="AH213" s="1" t="s">
        <v>75</v>
      </c>
      <c r="AI213" s="4">
        <v>44833</v>
      </c>
      <c r="AJ213" s="12" t="s">
        <v>853</v>
      </c>
      <c r="AM213" s="66" t="str">
        <f t="shared" si="3"/>
        <v>https://ensinoiptbr.sharepoint.com/:f:/s/ControledeAtivos/Et7DGYxCjRFJmUd32iAlHvoBmZg1Ck6DunHO0O-LBOOa-g?e=kfCIyw</v>
      </c>
    </row>
    <row r="214" spans="1:39" ht="32.4" x14ac:dyDescent="0.35">
      <c r="A214" s="1" t="s">
        <v>26</v>
      </c>
      <c r="B214" s="1">
        <v>4</v>
      </c>
      <c r="C214" s="1" t="s">
        <v>854</v>
      </c>
      <c r="D214" s="1" t="s">
        <v>739</v>
      </c>
      <c r="F214" s="1" t="s">
        <v>855</v>
      </c>
      <c r="H214" s="1" t="s">
        <v>29</v>
      </c>
      <c r="I214" s="1" t="s">
        <v>856</v>
      </c>
      <c r="J214" s="1" t="s">
        <v>857</v>
      </c>
      <c r="O214" s="1" t="s">
        <v>858</v>
      </c>
      <c r="V214" s="1" t="s">
        <v>859</v>
      </c>
      <c r="AA214" s="1" t="s">
        <v>860</v>
      </c>
      <c r="AE214" s="14" t="s">
        <v>861</v>
      </c>
      <c r="AF214" s="1" t="s">
        <v>36</v>
      </c>
      <c r="AH214" s="1" t="s">
        <v>862</v>
      </c>
      <c r="AI214" s="4">
        <v>44869</v>
      </c>
      <c r="AJ214" s="12" t="s">
        <v>856</v>
      </c>
      <c r="AK214" s="2" t="s">
        <v>47</v>
      </c>
      <c r="AM214" s="66" t="str">
        <f t="shared" si="3"/>
        <v>https://ensinoiptbr.sharepoint.com/:f:/s/ControledeAtivos/EkbbS8XSEZBLnpOihF3JpuMB8XpWxtGomNUtunCdtj6ydg?e=PuSucl</v>
      </c>
    </row>
    <row r="215" spans="1:39" ht="43.2" x14ac:dyDescent="0.35">
      <c r="A215" s="1" t="s">
        <v>26</v>
      </c>
      <c r="B215" s="1">
        <v>4</v>
      </c>
      <c r="C215" s="1" t="s">
        <v>863</v>
      </c>
      <c r="D215" s="1" t="s">
        <v>739</v>
      </c>
      <c r="F215" s="1" t="s">
        <v>864</v>
      </c>
      <c r="H215" s="1" t="s">
        <v>29</v>
      </c>
      <c r="I215" s="1" t="s">
        <v>865</v>
      </c>
      <c r="J215" s="1" t="s">
        <v>857</v>
      </c>
      <c r="O215" s="1" t="s">
        <v>866</v>
      </c>
      <c r="P215" s="1">
        <v>200</v>
      </c>
      <c r="Q215" s="1" t="s">
        <v>867</v>
      </c>
      <c r="R215" s="1">
        <v>220</v>
      </c>
      <c r="V215" s="1" t="s">
        <v>868</v>
      </c>
      <c r="AA215" s="1" t="s">
        <v>860</v>
      </c>
      <c r="AE215" s="14" t="s">
        <v>869</v>
      </c>
      <c r="AF215" s="1" t="s">
        <v>36</v>
      </c>
      <c r="AH215" s="1" t="s">
        <v>870</v>
      </c>
      <c r="AI215" s="4">
        <v>44869</v>
      </c>
      <c r="AJ215" s="12" t="s">
        <v>865</v>
      </c>
      <c r="AM215" s="66" t="str">
        <f t="shared" si="3"/>
        <v>https://ensinoiptbr.sharepoint.com/:f:/s/ControledeAtivos/EnN_8Pbt1E1Ds-b6vcdWYpoBkBt_HBFPgueVP_q3a4J8RQ?e=fd6b83</v>
      </c>
    </row>
    <row r="216" spans="1:39" ht="81" x14ac:dyDescent="0.35">
      <c r="A216" s="1" t="s">
        <v>26</v>
      </c>
      <c r="B216" s="1">
        <v>4</v>
      </c>
      <c r="C216" s="1" t="s">
        <v>832</v>
      </c>
      <c r="D216" s="1" t="s">
        <v>785</v>
      </c>
      <c r="F216" s="1" t="s">
        <v>871</v>
      </c>
      <c r="H216" s="1" t="s">
        <v>29</v>
      </c>
      <c r="I216" s="1" t="s">
        <v>872</v>
      </c>
      <c r="J216" s="1" t="s">
        <v>873</v>
      </c>
      <c r="O216" s="1" t="s">
        <v>360</v>
      </c>
      <c r="R216" s="1">
        <v>100</v>
      </c>
      <c r="V216" s="1" t="s">
        <v>874</v>
      </c>
      <c r="AA216" s="1" t="s">
        <v>790</v>
      </c>
      <c r="AF216" s="1" t="s">
        <v>875</v>
      </c>
      <c r="AH216" s="1" t="s">
        <v>75</v>
      </c>
      <c r="AI216" s="4">
        <v>44827</v>
      </c>
      <c r="AJ216" s="12" t="s">
        <v>872</v>
      </c>
      <c r="AM216" s="66" t="str">
        <f t="shared" si="3"/>
        <v>https://ensinoiptbr-my.sharepoint.com/personal/ericaugustin_ipt_br/Documents/Documentos/Prototipos/2023/Projeto Controle Ativos/SistemaAtivos2/:f:/s/ControledeAtivos/EiUNhynTwsZNrwD1xN2KqKABNpJy_uXawvWcWbdn_ekxvQ?e=sXdRsJ</v>
      </c>
    </row>
    <row r="217" spans="1:39" ht="81" x14ac:dyDescent="0.35">
      <c r="A217" s="1" t="s">
        <v>26</v>
      </c>
      <c r="B217" s="1">
        <v>4</v>
      </c>
      <c r="C217" s="1" t="s">
        <v>832</v>
      </c>
      <c r="D217" s="1" t="s">
        <v>785</v>
      </c>
      <c r="F217" s="1" t="s">
        <v>876</v>
      </c>
      <c r="H217" s="1" t="s">
        <v>206</v>
      </c>
      <c r="I217" s="1" t="s">
        <v>877</v>
      </c>
      <c r="J217" s="1" t="s">
        <v>878</v>
      </c>
      <c r="O217" s="1" t="s">
        <v>360</v>
      </c>
      <c r="P217" s="1">
        <v>2500</v>
      </c>
      <c r="Q217" s="1" t="s">
        <v>97</v>
      </c>
      <c r="R217" s="1">
        <v>220</v>
      </c>
      <c r="V217" s="1" t="s">
        <v>879</v>
      </c>
      <c r="AA217" s="1" t="s">
        <v>807</v>
      </c>
      <c r="AF217" s="1" t="s">
        <v>880</v>
      </c>
      <c r="AH217" s="1" t="s">
        <v>75</v>
      </c>
      <c r="AI217" s="4">
        <v>44827</v>
      </c>
      <c r="AJ217" s="12" t="s">
        <v>877</v>
      </c>
      <c r="AM217" s="66" t="str">
        <f t="shared" si="3"/>
        <v>https://ensinoiptbr-my.sharepoint.com/personal/ericaugustin_ipt_br/Documents/Documentos/Prototipos/2023/Projeto Controle Ativos/SistemaAtivos2/:f:/s/ControledeAtivos/Eixg06LKJXhKopU6lQx4UZoBXvxSa3W6LCLt3vqCLFGgnQ?e=ioemaZ</v>
      </c>
    </row>
    <row r="218" spans="1:39" ht="81" x14ac:dyDescent="0.35">
      <c r="A218" s="1" t="s">
        <v>26</v>
      </c>
      <c r="B218" s="1">
        <v>4</v>
      </c>
      <c r="C218" s="1" t="s">
        <v>832</v>
      </c>
      <c r="D218" s="1" t="s">
        <v>785</v>
      </c>
      <c r="F218" s="1" t="s">
        <v>881</v>
      </c>
      <c r="H218" s="1" t="s">
        <v>206</v>
      </c>
      <c r="I218" s="1" t="s">
        <v>882</v>
      </c>
      <c r="J218" s="1" t="s">
        <v>878</v>
      </c>
      <c r="O218" s="1" t="s">
        <v>360</v>
      </c>
      <c r="P218" s="1">
        <v>2500</v>
      </c>
      <c r="Q218" s="1" t="s">
        <v>97</v>
      </c>
      <c r="R218" s="1">
        <v>220</v>
      </c>
      <c r="V218" s="1" t="s">
        <v>879</v>
      </c>
      <c r="AA218" s="1" t="s">
        <v>807</v>
      </c>
      <c r="AB218" s="4">
        <v>37257</v>
      </c>
      <c r="AF218" s="1" t="s">
        <v>880</v>
      </c>
      <c r="AH218" s="1" t="s">
        <v>75</v>
      </c>
      <c r="AI218" s="4">
        <v>44827</v>
      </c>
      <c r="AJ218" s="12" t="s">
        <v>882</v>
      </c>
      <c r="AM218" s="66" t="str">
        <f t="shared" si="3"/>
        <v>https://ensinoiptbr-my.sharepoint.com/personal/ericaugustin_ipt_br/Documents/Documentos/Prototipos/2023/Projeto Controle Ativos/SistemaAtivos2/:f:/s/ControledeAtivos/Eo8qcJQ5ZuBCoUen3_n36zkB2jz2wRrfr44fvLLeEBGvmg?e=sdOlcN</v>
      </c>
    </row>
    <row r="219" spans="1:39" ht="43.2" x14ac:dyDescent="0.35">
      <c r="A219" s="1" t="s">
        <v>26</v>
      </c>
      <c r="B219" s="1">
        <v>4</v>
      </c>
      <c r="C219" s="1" t="s">
        <v>883</v>
      </c>
      <c r="F219" s="1" t="s">
        <v>884</v>
      </c>
      <c r="H219" s="1" t="s">
        <v>885</v>
      </c>
      <c r="I219" s="1" t="s">
        <v>886</v>
      </c>
      <c r="J219" s="1" t="s">
        <v>2590</v>
      </c>
      <c r="O219" s="1" t="s">
        <v>234</v>
      </c>
      <c r="AA219" s="1" t="s">
        <v>807</v>
      </c>
      <c r="AC219" s="1" t="s">
        <v>887</v>
      </c>
      <c r="AE219" s="14" t="s">
        <v>888</v>
      </c>
      <c r="AF219" s="1" t="s">
        <v>889</v>
      </c>
      <c r="AH219" s="1" t="s">
        <v>890</v>
      </c>
      <c r="AI219" s="4">
        <v>44833</v>
      </c>
      <c r="AJ219" s="62" t="s">
        <v>886</v>
      </c>
      <c r="AK219" s="2" t="s">
        <v>793</v>
      </c>
      <c r="AM219" s="66" t="str">
        <f t="shared" si="3"/>
        <v>https://ensinoiptbr.sharepoint.com/:f:/s/ControledeAtivos/En9ybzj8gaBCgn12CjIIutIBLJiSpwegANTz_piGsDLhZw?e=Xbqbfw</v>
      </c>
    </row>
    <row r="220" spans="1:39" ht="43.2" x14ac:dyDescent="0.35">
      <c r="A220" s="1" t="s">
        <v>26</v>
      </c>
      <c r="B220" s="1">
        <v>4</v>
      </c>
      <c r="C220" s="1" t="s">
        <v>891</v>
      </c>
      <c r="F220" s="1" t="s">
        <v>892</v>
      </c>
      <c r="H220" s="1" t="s">
        <v>893</v>
      </c>
      <c r="I220" s="1" t="s">
        <v>894</v>
      </c>
      <c r="J220" s="1" t="s">
        <v>895</v>
      </c>
      <c r="O220" s="1" t="s">
        <v>234</v>
      </c>
      <c r="P220" s="1">
        <v>1.6</v>
      </c>
      <c r="Q220" s="1" t="s">
        <v>198</v>
      </c>
      <c r="R220" s="1">
        <v>220</v>
      </c>
      <c r="V220" s="1" t="s">
        <v>896</v>
      </c>
      <c r="AA220" s="1" t="s">
        <v>897</v>
      </c>
      <c r="AE220" s="14" t="s">
        <v>898</v>
      </c>
      <c r="AF220" s="1" t="s">
        <v>899</v>
      </c>
      <c r="AH220" s="1" t="s">
        <v>75</v>
      </c>
      <c r="AI220" s="4">
        <v>44833</v>
      </c>
      <c r="AJ220" s="12" t="s">
        <v>894</v>
      </c>
      <c r="AM220" s="66" t="str">
        <f t="shared" si="3"/>
        <v>https://ensinoiptbr.sharepoint.com/:f:/s/ControledeAtivos/EiW_pPLOBuZOsskx5G1llpABXjYFOslJKunqhTEj6-o7pA?e=1rzoCK</v>
      </c>
    </row>
    <row r="221" spans="1:39" ht="43.2" x14ac:dyDescent="0.35">
      <c r="A221" s="1" t="s">
        <v>26</v>
      </c>
      <c r="B221" s="1">
        <v>4</v>
      </c>
      <c r="C221" s="1" t="s">
        <v>891</v>
      </c>
      <c r="F221" s="1" t="s">
        <v>900</v>
      </c>
      <c r="H221" s="1" t="s">
        <v>893</v>
      </c>
      <c r="I221" s="1" t="s">
        <v>901</v>
      </c>
      <c r="J221" s="1" t="s">
        <v>902</v>
      </c>
      <c r="O221" s="1" t="s">
        <v>234</v>
      </c>
      <c r="P221" s="1">
        <v>1.1000000000000001</v>
      </c>
      <c r="Q221" s="1" t="s">
        <v>198</v>
      </c>
      <c r="R221" s="1">
        <v>100</v>
      </c>
      <c r="V221" s="1" t="s">
        <v>903</v>
      </c>
      <c r="AA221" s="1" t="s">
        <v>790</v>
      </c>
      <c r="AF221" s="1" t="s">
        <v>904</v>
      </c>
      <c r="AJ221" s="12" t="s">
        <v>901</v>
      </c>
      <c r="AM221" s="66" t="str">
        <f t="shared" si="3"/>
        <v>https://ensinoiptbr.sharepoint.com/:f:/s/ControledeAtivos/EihBy9XaxgpHuyQViOfVZ9QBzCATjj9tFufKQS_VN8LT-A?e=fIEedZ</v>
      </c>
    </row>
    <row r="222" spans="1:39" ht="32.4" x14ac:dyDescent="0.35">
      <c r="A222" s="1" t="s">
        <v>26</v>
      </c>
      <c r="B222" s="1">
        <v>4</v>
      </c>
      <c r="C222" s="1" t="s">
        <v>785</v>
      </c>
      <c r="F222" s="1" t="s">
        <v>905</v>
      </c>
      <c r="H222" s="1" t="s">
        <v>906</v>
      </c>
      <c r="I222" s="1" t="s">
        <v>907</v>
      </c>
      <c r="J222" s="1" t="s">
        <v>908</v>
      </c>
      <c r="O222" s="1" t="s">
        <v>234</v>
      </c>
      <c r="R222" s="1">
        <v>220</v>
      </c>
      <c r="V222" s="1" t="s">
        <v>909</v>
      </c>
      <c r="AE222" s="14" t="s">
        <v>910</v>
      </c>
      <c r="AH222" s="1" t="s">
        <v>911</v>
      </c>
      <c r="AI222" s="4">
        <v>44833</v>
      </c>
      <c r="AJ222" s="12" t="s">
        <v>907</v>
      </c>
      <c r="AM222" s="66" t="str">
        <f t="shared" si="3"/>
        <v>https://ensinoiptbr.sharepoint.com/:f:/s/ControledeAtivos/EptHnW6rIXBCpGxrygPAoSgBr8Axs3ReZYEBVXvWRuQWpQ?e=QIfhKL</v>
      </c>
    </row>
    <row r="223" spans="1:39" ht="43.2" x14ac:dyDescent="0.35">
      <c r="A223" s="1" t="s">
        <v>26</v>
      </c>
      <c r="B223" s="1">
        <v>4</v>
      </c>
      <c r="C223" s="1" t="s">
        <v>883</v>
      </c>
      <c r="F223" s="1" t="s">
        <v>912</v>
      </c>
      <c r="H223" s="1" t="s">
        <v>335</v>
      </c>
      <c r="I223" s="1" t="s">
        <v>913</v>
      </c>
      <c r="J223" s="1" t="s">
        <v>2590</v>
      </c>
      <c r="O223" s="1" t="s">
        <v>914</v>
      </c>
      <c r="P223" s="17">
        <v>0.5</v>
      </c>
      <c r="Q223" s="5" t="s">
        <v>235</v>
      </c>
      <c r="R223" s="1">
        <v>220</v>
      </c>
      <c r="AE223" s="14" t="s">
        <v>915</v>
      </c>
      <c r="AF223" s="1" t="s">
        <v>916</v>
      </c>
      <c r="AH223" s="1" t="s">
        <v>747</v>
      </c>
      <c r="AI223" s="4">
        <v>44837</v>
      </c>
      <c r="AJ223" s="12" t="s">
        <v>913</v>
      </c>
      <c r="AM223" s="66" t="str">
        <f t="shared" si="3"/>
        <v>https://ensinoiptbr.sharepoint.com/:f:/s/ControledeAtivos/EuT87nhL8IFIjGHwbLrimmMBjCy2eryh6BSWHijOZsJWLg?e=LgkFzC</v>
      </c>
    </row>
    <row r="224" spans="1:39" ht="32.4" x14ac:dyDescent="0.35">
      <c r="A224" s="1" t="s">
        <v>26</v>
      </c>
      <c r="B224" s="1">
        <v>4</v>
      </c>
      <c r="C224" s="1" t="s">
        <v>832</v>
      </c>
      <c r="D224" s="1" t="s">
        <v>739</v>
      </c>
      <c r="F224" s="1" t="s">
        <v>917</v>
      </c>
      <c r="H224" s="1" t="s">
        <v>464</v>
      </c>
      <c r="I224" s="1" t="s">
        <v>918</v>
      </c>
      <c r="J224" s="1" t="s">
        <v>472</v>
      </c>
      <c r="O224" s="1" t="s">
        <v>234</v>
      </c>
      <c r="P224" s="1">
        <v>15000</v>
      </c>
      <c r="Q224" s="1" t="s">
        <v>97</v>
      </c>
      <c r="R224" s="1">
        <v>220</v>
      </c>
      <c r="V224" s="1" t="s">
        <v>919</v>
      </c>
      <c r="AA224" s="1" t="s">
        <v>807</v>
      </c>
      <c r="AB224" s="4">
        <v>41640</v>
      </c>
      <c r="AC224" s="1" t="s">
        <v>920</v>
      </c>
      <c r="AE224" s="14" t="s">
        <v>921</v>
      </c>
      <c r="AF224" s="1" t="s">
        <v>922</v>
      </c>
      <c r="AI224" s="4">
        <v>44862</v>
      </c>
      <c r="AJ224" s="12" t="s">
        <v>923</v>
      </c>
      <c r="AM224" s="66" t="str">
        <f t="shared" si="3"/>
        <v>https://ensinoiptbr.sharepoint.com/:f:/s/ControledeAtivos/EoyYpumZohVPgArN4dyvZnYBQP6QJ1LGDhd6l5X3J1hSzg?e=XsHDJ1</v>
      </c>
    </row>
    <row r="225" spans="1:39" ht="32.4" x14ac:dyDescent="0.35">
      <c r="A225" s="1" t="s">
        <v>26</v>
      </c>
      <c r="B225" s="1">
        <v>4</v>
      </c>
      <c r="C225" s="1" t="s">
        <v>832</v>
      </c>
      <c r="D225" s="1" t="s">
        <v>739</v>
      </c>
      <c r="F225" s="1" t="s">
        <v>924</v>
      </c>
      <c r="H225" s="1" t="s">
        <v>464</v>
      </c>
      <c r="I225" s="1" t="s">
        <v>925</v>
      </c>
      <c r="J225" s="1" t="s">
        <v>472</v>
      </c>
      <c r="O225" s="1" t="s">
        <v>234</v>
      </c>
      <c r="P225" s="1">
        <v>15000</v>
      </c>
      <c r="Q225" s="1" t="s">
        <v>97</v>
      </c>
      <c r="R225" s="1">
        <v>220</v>
      </c>
      <c r="V225" s="1" t="s">
        <v>926</v>
      </c>
      <c r="AA225" s="1" t="s">
        <v>807</v>
      </c>
      <c r="AB225" s="4">
        <v>40544</v>
      </c>
      <c r="AC225" s="1" t="s">
        <v>927</v>
      </c>
      <c r="AE225" s="14" t="s">
        <v>928</v>
      </c>
      <c r="AF225" s="1" t="s">
        <v>929</v>
      </c>
      <c r="AH225" s="1" t="s">
        <v>930</v>
      </c>
      <c r="AI225" s="4">
        <v>44833</v>
      </c>
      <c r="AJ225" s="12" t="s">
        <v>918</v>
      </c>
      <c r="AM225" s="66" t="str">
        <f t="shared" si="3"/>
        <v>https://ensinoiptbr.sharepoint.com/:f:/s/ControledeAtivos/EosMnPhmZBZGoSaCxgV542MBDNe6L4HbsPvPH-30Z-U6bQ?e=3tqvuf</v>
      </c>
    </row>
    <row r="226" spans="1:39" ht="32.4" x14ac:dyDescent="0.35">
      <c r="A226" s="1" t="s">
        <v>26</v>
      </c>
      <c r="B226" s="1">
        <v>4</v>
      </c>
      <c r="C226" s="1" t="s">
        <v>832</v>
      </c>
      <c r="D226" s="1" t="s">
        <v>739</v>
      </c>
      <c r="F226" s="1" t="s">
        <v>931</v>
      </c>
      <c r="H226" s="1" t="s">
        <v>464</v>
      </c>
      <c r="I226" s="1" t="s">
        <v>932</v>
      </c>
      <c r="J226" s="1" t="s">
        <v>66</v>
      </c>
      <c r="O226" s="1" t="s">
        <v>234</v>
      </c>
      <c r="P226" s="1">
        <v>55</v>
      </c>
      <c r="Q226" s="1" t="s">
        <v>198</v>
      </c>
      <c r="R226" s="1">
        <v>220</v>
      </c>
      <c r="V226" s="1" t="s">
        <v>933</v>
      </c>
      <c r="AA226" s="1" t="s">
        <v>807</v>
      </c>
      <c r="AB226" s="4">
        <v>40909</v>
      </c>
      <c r="AE226" s="14" t="s">
        <v>934</v>
      </c>
      <c r="AF226" s="1" t="s">
        <v>935</v>
      </c>
      <c r="AH226" s="1" t="s">
        <v>936</v>
      </c>
      <c r="AI226" s="4">
        <v>44833</v>
      </c>
      <c r="AJ226" s="12" t="s">
        <v>925</v>
      </c>
      <c r="AK226" s="2" t="s">
        <v>937</v>
      </c>
      <c r="AM226" s="66" t="str">
        <f t="shared" si="3"/>
        <v>https://ensinoiptbr.sharepoint.com/:f:/s/ControledeAtivos/EsG9Yfh80b5Hq3zCVHan0BQB5jt_Vep7WGymQPBjG_MhNg?e=Sp108D</v>
      </c>
    </row>
    <row r="227" spans="1:39" ht="43.2" x14ac:dyDescent="0.35">
      <c r="A227" s="1" t="s">
        <v>26</v>
      </c>
      <c r="B227" s="1">
        <v>4</v>
      </c>
      <c r="C227" s="1" t="s">
        <v>832</v>
      </c>
      <c r="D227" s="1" t="s">
        <v>739</v>
      </c>
      <c r="F227" s="1" t="s">
        <v>938</v>
      </c>
      <c r="H227" s="1" t="s">
        <v>464</v>
      </c>
      <c r="I227" s="1" t="s">
        <v>939</v>
      </c>
      <c r="J227" s="1" t="s">
        <v>940</v>
      </c>
      <c r="O227" s="1" t="s">
        <v>234</v>
      </c>
      <c r="P227" s="1">
        <v>120</v>
      </c>
      <c r="Q227" s="1" t="s">
        <v>198</v>
      </c>
      <c r="R227" s="1">
        <v>440</v>
      </c>
      <c r="V227" s="1" t="s">
        <v>941</v>
      </c>
      <c r="AE227" s="14" t="s">
        <v>942</v>
      </c>
      <c r="AF227" s="1" t="s">
        <v>943</v>
      </c>
      <c r="AH227" s="1" t="s">
        <v>862</v>
      </c>
      <c r="AI227" s="4">
        <v>44833</v>
      </c>
      <c r="AJ227" s="12" t="s">
        <v>932</v>
      </c>
      <c r="AM227" s="66" t="str">
        <f t="shared" si="3"/>
        <v>https://ensinoiptbr.sharepoint.com/:f:/s/ControledeAtivos/Ep9t4HjoRzZJlJosZ5hu2PgB05FDWv3cC1VrDQ-zCXlVgw?e=Q1XQcp</v>
      </c>
    </row>
    <row r="228" spans="1:39" ht="32.4" x14ac:dyDescent="0.35">
      <c r="A228" s="1" t="s">
        <v>26</v>
      </c>
      <c r="B228" s="1">
        <v>4</v>
      </c>
      <c r="C228" s="1" t="s">
        <v>832</v>
      </c>
      <c r="D228" s="1" t="s">
        <v>739</v>
      </c>
      <c r="F228" s="1" t="s">
        <v>944</v>
      </c>
      <c r="H228" s="1" t="s">
        <v>464</v>
      </c>
      <c r="I228" s="1" t="s">
        <v>945</v>
      </c>
      <c r="J228" s="1" t="s">
        <v>946</v>
      </c>
      <c r="O228" s="1" t="s">
        <v>234</v>
      </c>
      <c r="P228" s="1">
        <v>18</v>
      </c>
      <c r="Q228" s="1" t="s">
        <v>198</v>
      </c>
      <c r="R228" s="1">
        <v>440</v>
      </c>
      <c r="V228" s="1" t="s">
        <v>947</v>
      </c>
      <c r="AE228" s="14" t="s">
        <v>948</v>
      </c>
      <c r="AF228" s="1" t="s">
        <v>943</v>
      </c>
      <c r="AH228" s="1" t="s">
        <v>362</v>
      </c>
      <c r="AI228" s="4">
        <v>44833</v>
      </c>
      <c r="AJ228" s="12" t="s">
        <v>939</v>
      </c>
      <c r="AM228" s="66" t="str">
        <f t="shared" si="3"/>
        <v>https://ensinoiptbr.sharepoint.com/:f:/s/ControledeAtivos/EteKpX5qor1LpXaIMGC5IPAB1bG1VwnbfQhIr93amRm_qQ?e=QHjtaY</v>
      </c>
    </row>
    <row r="229" spans="1:39" ht="32.4" x14ac:dyDescent="0.35">
      <c r="A229" s="1" t="s">
        <v>26</v>
      </c>
      <c r="B229" s="1">
        <v>4</v>
      </c>
      <c r="C229" s="1" t="s">
        <v>832</v>
      </c>
      <c r="D229" s="1" t="s">
        <v>739</v>
      </c>
      <c r="F229" s="1" t="s">
        <v>949</v>
      </c>
      <c r="H229" s="1" t="s">
        <v>464</v>
      </c>
      <c r="I229" s="1" t="s">
        <v>950</v>
      </c>
      <c r="J229" s="1" t="s">
        <v>951</v>
      </c>
      <c r="O229" s="1" t="s">
        <v>234</v>
      </c>
      <c r="AE229" s="14" t="s">
        <v>952</v>
      </c>
      <c r="AF229" s="1" t="s">
        <v>953</v>
      </c>
      <c r="AH229" s="1" t="s">
        <v>362</v>
      </c>
      <c r="AI229" s="4">
        <v>44833</v>
      </c>
      <c r="AJ229" s="12" t="s">
        <v>945</v>
      </c>
      <c r="AM229" s="66" t="str">
        <f t="shared" si="3"/>
        <v>https://ensinoiptbr.sharepoint.com/:f:/s/ControledeAtivos/EoMTJTMjgSlAp46hSv44ICMBlBGpsVAS0JO8Xxnw4f9cXA?e=XbfcgU</v>
      </c>
    </row>
    <row r="230" spans="1:39" ht="32.4" x14ac:dyDescent="0.35">
      <c r="A230" s="1" t="s">
        <v>26</v>
      </c>
      <c r="B230" s="1">
        <v>4</v>
      </c>
      <c r="C230" s="1" t="s">
        <v>832</v>
      </c>
      <c r="D230" s="1" t="s">
        <v>739</v>
      </c>
      <c r="F230" s="1" t="s">
        <v>954</v>
      </c>
      <c r="H230" s="1" t="s">
        <v>464</v>
      </c>
      <c r="I230" s="1" t="s">
        <v>955</v>
      </c>
      <c r="J230" s="1" t="s">
        <v>956</v>
      </c>
      <c r="O230" s="1" t="s">
        <v>234</v>
      </c>
      <c r="P230" s="1">
        <v>30</v>
      </c>
      <c r="Q230" s="1" t="s">
        <v>33</v>
      </c>
      <c r="R230" s="1">
        <v>220</v>
      </c>
      <c r="V230" s="1" t="s">
        <v>957</v>
      </c>
      <c r="AB230" s="4">
        <v>27760</v>
      </c>
      <c r="AE230" s="14" t="s">
        <v>958</v>
      </c>
      <c r="AF230" s="1" t="s">
        <v>959</v>
      </c>
      <c r="AH230" s="1" t="s">
        <v>75</v>
      </c>
      <c r="AI230" s="4">
        <v>44833</v>
      </c>
      <c r="AJ230" s="12" t="s">
        <v>950</v>
      </c>
      <c r="AM230" s="66" t="str">
        <f t="shared" si="3"/>
        <v>https://ensinoiptbr.sharepoint.com/:f:/s/ControledeAtivos/EgVflCtu-nVEkKf5xSh3kTkBXJsktUYOx_xBx4qj7eYNgg?e=NMrORv</v>
      </c>
    </row>
    <row r="231" spans="1:39" ht="32.4" x14ac:dyDescent="0.35">
      <c r="A231" s="1" t="s">
        <v>26</v>
      </c>
      <c r="B231" s="1">
        <v>4</v>
      </c>
      <c r="C231" s="1" t="s">
        <v>832</v>
      </c>
      <c r="D231" s="1" t="s">
        <v>739</v>
      </c>
      <c r="F231" s="1" t="s">
        <v>960</v>
      </c>
      <c r="H231" s="1" t="s">
        <v>464</v>
      </c>
      <c r="I231" s="1" t="s">
        <v>961</v>
      </c>
      <c r="J231" s="1" t="s">
        <v>66</v>
      </c>
      <c r="O231" s="1" t="s">
        <v>234</v>
      </c>
      <c r="P231" s="1">
        <v>20</v>
      </c>
      <c r="Q231" s="1" t="s">
        <v>198</v>
      </c>
      <c r="R231" s="1">
        <v>220</v>
      </c>
      <c r="V231" s="1" t="s">
        <v>962</v>
      </c>
      <c r="AA231" s="1" t="s">
        <v>807</v>
      </c>
      <c r="AB231" s="4">
        <v>40909</v>
      </c>
      <c r="AE231" s="14" t="s">
        <v>963</v>
      </c>
      <c r="AF231" s="1" t="s">
        <v>964</v>
      </c>
      <c r="AH231" s="1" t="s">
        <v>75</v>
      </c>
      <c r="AI231" s="4">
        <v>44833</v>
      </c>
      <c r="AJ231" s="12" t="s">
        <v>955</v>
      </c>
      <c r="AM231" s="66" t="str">
        <f t="shared" si="3"/>
        <v>https://ensinoiptbr.sharepoint.com/:f:/s/ControledeAtivos/Ei8PAndOvLxNi2rD2Jawi1YBdjdWeYAA8DqRUIGs8JvXxA?e=XuBrT7</v>
      </c>
    </row>
    <row r="232" spans="1:39" ht="32.4" x14ac:dyDescent="0.35">
      <c r="A232" s="1" t="s">
        <v>26</v>
      </c>
      <c r="B232" s="1">
        <v>4</v>
      </c>
      <c r="C232" s="1" t="s">
        <v>832</v>
      </c>
      <c r="D232" s="1" t="s">
        <v>739</v>
      </c>
      <c r="F232" s="1" t="s">
        <v>965</v>
      </c>
      <c r="H232" s="1" t="s">
        <v>464</v>
      </c>
      <c r="I232" s="1" t="s">
        <v>966</v>
      </c>
      <c r="J232" s="1" t="s">
        <v>967</v>
      </c>
      <c r="O232" s="1" t="s">
        <v>234</v>
      </c>
      <c r="P232" s="1">
        <v>8500</v>
      </c>
      <c r="Q232" s="1" t="s">
        <v>97</v>
      </c>
      <c r="R232" s="1">
        <v>220</v>
      </c>
      <c r="V232" s="1" t="s">
        <v>968</v>
      </c>
      <c r="AA232" s="1" t="s">
        <v>807</v>
      </c>
      <c r="AC232" s="1" t="s">
        <v>745</v>
      </c>
      <c r="AE232" s="14" t="s">
        <v>969</v>
      </c>
      <c r="AF232" s="1" t="s">
        <v>970</v>
      </c>
      <c r="AH232" s="1" t="s">
        <v>75</v>
      </c>
      <c r="AI232" s="4">
        <v>44833</v>
      </c>
      <c r="AJ232" s="12" t="s">
        <v>961</v>
      </c>
      <c r="AM232" s="66" t="str">
        <f t="shared" si="3"/>
        <v>https://ensinoiptbr.sharepoint.com/:f:/s/ControledeAtivos/EnMfqR88nRpDk3MdShonj-0BY8JWZVyv8VDExKPono8VUQ?e=PDonum</v>
      </c>
    </row>
    <row r="233" spans="1:39" ht="43.2" x14ac:dyDescent="0.35">
      <c r="A233" s="1" t="s">
        <v>26</v>
      </c>
      <c r="B233" s="1">
        <v>4</v>
      </c>
      <c r="C233" s="1" t="s">
        <v>891</v>
      </c>
      <c r="F233" s="1" t="s">
        <v>971</v>
      </c>
      <c r="H233" s="1" t="s">
        <v>464</v>
      </c>
      <c r="I233" s="1" t="s">
        <v>972</v>
      </c>
      <c r="J233" s="1" t="s">
        <v>973</v>
      </c>
      <c r="O233" s="1" t="s">
        <v>234</v>
      </c>
      <c r="R233" s="1">
        <v>220</v>
      </c>
      <c r="AA233" s="1" t="s">
        <v>974</v>
      </c>
      <c r="AE233" s="14" t="s">
        <v>975</v>
      </c>
      <c r="AF233" s="1" t="s">
        <v>976</v>
      </c>
      <c r="AH233" s="1" t="s">
        <v>75</v>
      </c>
      <c r="AI233" s="4">
        <v>44833</v>
      </c>
      <c r="AJ233" s="12" t="s">
        <v>966</v>
      </c>
      <c r="AM233" s="66" t="str">
        <f t="shared" si="3"/>
        <v>https://ensinoiptbr.sharepoint.com/:f:/s/ControledeAtivos/EqGuPsA1bEBEkIWpUmCSKc0Bo4OQ_KLG95xSxbciDSegew?e=Q8l2M3</v>
      </c>
    </row>
    <row r="234" spans="1:39" ht="43.2" x14ac:dyDescent="0.35">
      <c r="A234" s="1" t="s">
        <v>26</v>
      </c>
      <c r="B234" s="1">
        <v>4</v>
      </c>
      <c r="C234" s="1" t="s">
        <v>891</v>
      </c>
      <c r="F234" s="1" t="s">
        <v>977</v>
      </c>
      <c r="H234" s="1" t="s">
        <v>464</v>
      </c>
      <c r="I234" s="1" t="s">
        <v>978</v>
      </c>
      <c r="J234" s="1" t="s">
        <v>979</v>
      </c>
      <c r="O234" s="1" t="s">
        <v>234</v>
      </c>
      <c r="R234" s="1">
        <v>220</v>
      </c>
      <c r="V234" s="1" t="s">
        <v>980</v>
      </c>
      <c r="AE234" s="14" t="s">
        <v>981</v>
      </c>
      <c r="AF234" s="1" t="s">
        <v>982</v>
      </c>
      <c r="AH234" s="1" t="s">
        <v>75</v>
      </c>
      <c r="AI234" s="4">
        <v>44833</v>
      </c>
      <c r="AJ234" s="12" t="s">
        <v>972</v>
      </c>
      <c r="AM234" s="66" t="str">
        <f t="shared" si="3"/>
        <v>https://ensinoiptbr.sharepoint.com/:f:/s/ControledeAtivos/EvKNvdOgUotPhuKJrtPgP7ABsfe-xw_RouFsZuo0SKGVSQ?e=IYpXQN</v>
      </c>
    </row>
    <row r="235" spans="1:39" ht="43.2" x14ac:dyDescent="0.35">
      <c r="A235" s="1" t="s">
        <v>26</v>
      </c>
      <c r="B235" s="1">
        <v>4</v>
      </c>
      <c r="C235" s="1" t="s">
        <v>891</v>
      </c>
      <c r="F235" s="1" t="s">
        <v>983</v>
      </c>
      <c r="H235" s="1" t="s">
        <v>464</v>
      </c>
      <c r="I235" s="1" t="s">
        <v>984</v>
      </c>
      <c r="J235" s="1" t="s">
        <v>472</v>
      </c>
      <c r="O235" s="1" t="s">
        <v>234</v>
      </c>
      <c r="P235" s="1">
        <v>16000</v>
      </c>
      <c r="Q235" s="1" t="s">
        <v>97</v>
      </c>
      <c r="R235" s="1">
        <v>220</v>
      </c>
      <c r="V235" s="1" t="s">
        <v>985</v>
      </c>
      <c r="AA235" s="1" t="s">
        <v>807</v>
      </c>
      <c r="AC235" s="1" t="s">
        <v>986</v>
      </c>
      <c r="AE235" s="14" t="s">
        <v>987</v>
      </c>
      <c r="AF235" s="1" t="s">
        <v>988</v>
      </c>
      <c r="AH235" s="1" t="s">
        <v>989</v>
      </c>
      <c r="AI235" s="4">
        <v>44833</v>
      </c>
      <c r="AJ235" s="12" t="s">
        <v>984</v>
      </c>
      <c r="AM235" s="66" t="str">
        <f t="shared" si="3"/>
        <v>https://ensinoiptbr.sharepoint.com/:f:/s/ControledeAtivos/EvZdbnBe-pVDlfW8yLMoyjoBLUATPEjRrAC4XWN9U3tonQ?e=a5mfUG</v>
      </c>
    </row>
    <row r="236" spans="1:39" ht="43.2" x14ac:dyDescent="0.35">
      <c r="A236" s="1" t="s">
        <v>26</v>
      </c>
      <c r="B236" s="1">
        <v>4</v>
      </c>
      <c r="C236" s="1" t="s">
        <v>891</v>
      </c>
      <c r="F236" s="1" t="s">
        <v>990</v>
      </c>
      <c r="H236" s="1" t="s">
        <v>464</v>
      </c>
      <c r="I236" s="1" t="s">
        <v>991</v>
      </c>
      <c r="J236" s="1" t="s">
        <v>472</v>
      </c>
      <c r="O236" s="1" t="s">
        <v>234</v>
      </c>
      <c r="P236" s="1">
        <v>16000</v>
      </c>
      <c r="Q236" s="1" t="s">
        <v>97</v>
      </c>
      <c r="R236" s="1">
        <v>220</v>
      </c>
      <c r="V236" s="1" t="s">
        <v>985</v>
      </c>
      <c r="AA236" s="1" t="s">
        <v>807</v>
      </c>
      <c r="AC236" s="1" t="s">
        <v>986</v>
      </c>
      <c r="AE236" s="14" t="s">
        <v>992</v>
      </c>
      <c r="AF236" s="1" t="s">
        <v>993</v>
      </c>
      <c r="AH236" s="1" t="s">
        <v>75</v>
      </c>
      <c r="AI236" s="4">
        <v>44833</v>
      </c>
      <c r="AJ236" s="12" t="s">
        <v>991</v>
      </c>
      <c r="AM236" s="66" t="str">
        <f t="shared" si="3"/>
        <v>https://ensinoiptbr.sharepoint.com/:f:/s/ControledeAtivos/EqZ9Toymuv5CjvifyrLk16kBV1COEYXCo7FDuBt9VowCuQ?e=qd3aFR</v>
      </c>
    </row>
    <row r="237" spans="1:39" ht="32.4" x14ac:dyDescent="0.35">
      <c r="A237" s="1" t="s">
        <v>26</v>
      </c>
      <c r="B237" s="1">
        <v>4</v>
      </c>
      <c r="C237" s="1" t="s">
        <v>832</v>
      </c>
      <c r="D237" s="1" t="s">
        <v>785</v>
      </c>
      <c r="F237" s="1" t="s">
        <v>994</v>
      </c>
      <c r="H237" s="1" t="s">
        <v>464</v>
      </c>
      <c r="I237" s="1" t="s">
        <v>995</v>
      </c>
      <c r="J237" s="1" t="s">
        <v>66</v>
      </c>
      <c r="O237" s="1" t="s">
        <v>360</v>
      </c>
      <c r="P237" s="1">
        <v>5</v>
      </c>
      <c r="Q237" s="1" t="s">
        <v>198</v>
      </c>
      <c r="R237" s="1">
        <v>220</v>
      </c>
      <c r="V237" s="1">
        <v>14421</v>
      </c>
      <c r="W237" s="1">
        <v>1200</v>
      </c>
      <c r="X237" s="1" t="s">
        <v>996</v>
      </c>
      <c r="AA237" s="1" t="s">
        <v>807</v>
      </c>
      <c r="AB237" s="4">
        <v>40544</v>
      </c>
      <c r="AE237" s="14" t="s">
        <v>997</v>
      </c>
      <c r="AF237" s="1" t="s">
        <v>998</v>
      </c>
      <c r="AH237" s="1" t="s">
        <v>75</v>
      </c>
      <c r="AI237" s="4">
        <v>44838</v>
      </c>
      <c r="AJ237" s="12" t="s">
        <v>995</v>
      </c>
      <c r="AM237" s="66" t="str">
        <f t="shared" si="3"/>
        <v>https://ensinoiptbr.sharepoint.com/:f:/s/ControledeAtivos/Ep61wpYhuXFOhpSYyyzg7CYBARtDsQmrM_m7JIqJBuonRQ?e=lebEAo</v>
      </c>
    </row>
    <row r="238" spans="1:39" ht="32.4" x14ac:dyDescent="0.35">
      <c r="A238" s="1" t="s">
        <v>26</v>
      </c>
      <c r="B238" s="1">
        <v>4</v>
      </c>
      <c r="C238" s="1" t="s">
        <v>832</v>
      </c>
      <c r="D238" s="1" t="s">
        <v>785</v>
      </c>
      <c r="F238" s="1" t="s">
        <v>999</v>
      </c>
      <c r="H238" s="1" t="s">
        <v>464</v>
      </c>
      <c r="I238" s="1" t="s">
        <v>1000</v>
      </c>
      <c r="J238" s="1" t="s">
        <v>66</v>
      </c>
      <c r="O238" s="1" t="s">
        <v>360</v>
      </c>
      <c r="P238" s="1">
        <v>5</v>
      </c>
      <c r="Q238" s="1" t="s">
        <v>198</v>
      </c>
      <c r="R238" s="1">
        <v>220</v>
      </c>
      <c r="V238" s="1" t="s">
        <v>1001</v>
      </c>
      <c r="W238" s="1">
        <v>1200</v>
      </c>
      <c r="X238" s="1" t="s">
        <v>996</v>
      </c>
      <c r="AA238" s="1" t="s">
        <v>807</v>
      </c>
      <c r="AB238" s="4">
        <v>40544</v>
      </c>
      <c r="AE238" s="14" t="s">
        <v>1002</v>
      </c>
      <c r="AF238" s="1" t="s">
        <v>998</v>
      </c>
      <c r="AH238" s="1" t="s">
        <v>75</v>
      </c>
      <c r="AI238" s="4">
        <v>44838</v>
      </c>
      <c r="AJ238" s="12" t="s">
        <v>1000</v>
      </c>
      <c r="AM238" s="66" t="str">
        <f t="shared" si="3"/>
        <v>https://ensinoiptbr.sharepoint.com/:f:/s/ControledeAtivos/EgIhygzR2chJgemwJ6SwaX4BTt37xUGQyTEzi580dNbPTQ?e=PV0Svr</v>
      </c>
    </row>
    <row r="239" spans="1:39" ht="32.4" x14ac:dyDescent="0.35">
      <c r="A239" s="1" t="s">
        <v>26</v>
      </c>
      <c r="B239" s="1">
        <v>4</v>
      </c>
      <c r="C239" s="1" t="s">
        <v>832</v>
      </c>
      <c r="D239" s="1" t="s">
        <v>785</v>
      </c>
      <c r="F239" s="1" t="s">
        <v>1003</v>
      </c>
      <c r="H239" s="1" t="s">
        <v>464</v>
      </c>
      <c r="I239" s="1" t="s">
        <v>1004</v>
      </c>
      <c r="J239" s="1" t="s">
        <v>1005</v>
      </c>
      <c r="M239" s="1" t="s">
        <v>1006</v>
      </c>
      <c r="O239" s="1" t="s">
        <v>360</v>
      </c>
      <c r="P239" s="1">
        <v>10</v>
      </c>
      <c r="Q239" s="1" t="s">
        <v>198</v>
      </c>
      <c r="R239" s="1">
        <v>220</v>
      </c>
      <c r="V239" s="1" t="s">
        <v>1007</v>
      </c>
      <c r="W239" s="1">
        <v>1500</v>
      </c>
      <c r="X239" s="1" t="s">
        <v>996</v>
      </c>
      <c r="AA239" s="1" t="s">
        <v>790</v>
      </c>
      <c r="AB239" s="77">
        <v>34335</v>
      </c>
      <c r="AD239" s="1" t="s">
        <v>1008</v>
      </c>
      <c r="AE239" s="14" t="s">
        <v>1009</v>
      </c>
      <c r="AF239" s="1" t="s">
        <v>1010</v>
      </c>
      <c r="AH239" s="1" t="s">
        <v>362</v>
      </c>
      <c r="AI239" s="4">
        <v>44838</v>
      </c>
      <c r="AJ239" s="12" t="s">
        <v>1004</v>
      </c>
      <c r="AK239" s="2" t="s">
        <v>846</v>
      </c>
      <c r="AM239" s="66" t="str">
        <f t="shared" si="3"/>
        <v>https://ensinoiptbr.sharepoint.com/:f:/s/ControledeAtivos/EjkqALvpX8BKtESkuDYsGmsBHhfzgDguiYAk9rPOEhIzCQ?e=Y7fNPe</v>
      </c>
    </row>
    <row r="240" spans="1:39" ht="81" x14ac:dyDescent="0.35">
      <c r="A240" s="1" t="s">
        <v>26</v>
      </c>
      <c r="B240" s="1">
        <v>4</v>
      </c>
      <c r="C240" s="1" t="s">
        <v>832</v>
      </c>
      <c r="D240" s="1" t="s">
        <v>785</v>
      </c>
      <c r="F240" s="1" t="s">
        <v>1011</v>
      </c>
      <c r="H240" s="1" t="s">
        <v>464</v>
      </c>
      <c r="I240" s="1" t="s">
        <v>1012</v>
      </c>
      <c r="J240" s="5" t="s">
        <v>1013</v>
      </c>
      <c r="O240" s="1" t="s">
        <v>360</v>
      </c>
      <c r="P240" s="1">
        <v>5.4</v>
      </c>
      <c r="Q240" s="1" t="s">
        <v>198</v>
      </c>
      <c r="R240" s="1">
        <v>200</v>
      </c>
      <c r="V240" s="1" t="s">
        <v>1014</v>
      </c>
      <c r="W240" s="1">
        <v>1100</v>
      </c>
      <c r="X240" s="1" t="s">
        <v>996</v>
      </c>
      <c r="AA240" s="1" t="s">
        <v>790</v>
      </c>
      <c r="AB240" s="77">
        <v>34335</v>
      </c>
      <c r="AC240" s="1" t="s">
        <v>873</v>
      </c>
      <c r="AD240" s="1" t="s">
        <v>1008</v>
      </c>
      <c r="AE240" s="14" t="s">
        <v>1015</v>
      </c>
      <c r="AF240" s="1" t="s">
        <v>1016</v>
      </c>
      <c r="AH240" s="1" t="s">
        <v>1017</v>
      </c>
      <c r="AI240" s="4">
        <v>44827</v>
      </c>
      <c r="AJ240" s="12" t="s">
        <v>1012</v>
      </c>
      <c r="AK240" s="2" t="s">
        <v>846</v>
      </c>
      <c r="AM240" s="66" t="str">
        <f t="shared" si="3"/>
        <v>https://ensinoiptbr-my.sharepoint.com/personal/ericaugustin_ipt_br/Documents/Documentos/Prototipos/2023/Projeto Controle Ativos/SistemaAtivos2/:f:/s/ControledeAtivos/EgNJwm9LGitNqLijtieYkzgBSjE6MufB3V3cG39vq0Elfg?e=3atAHL</v>
      </c>
    </row>
    <row r="241" spans="1:39" ht="81" x14ac:dyDescent="0.35">
      <c r="A241" s="1" t="s">
        <v>26</v>
      </c>
      <c r="B241" s="1">
        <v>4</v>
      </c>
      <c r="C241" s="1" t="s">
        <v>832</v>
      </c>
      <c r="D241" s="1" t="s">
        <v>785</v>
      </c>
      <c r="F241" s="1" t="s">
        <v>1018</v>
      </c>
      <c r="G241" s="1" t="s">
        <v>1019</v>
      </c>
      <c r="H241" s="1" t="s">
        <v>464</v>
      </c>
      <c r="I241" s="1" t="s">
        <v>1020</v>
      </c>
      <c r="J241" s="1" t="s">
        <v>1021</v>
      </c>
      <c r="O241" s="1" t="s">
        <v>360</v>
      </c>
      <c r="P241" s="1">
        <v>10</v>
      </c>
      <c r="Q241" s="1" t="s">
        <v>198</v>
      </c>
      <c r="R241" s="1">
        <v>220</v>
      </c>
      <c r="U241" s="1" t="s">
        <v>1022</v>
      </c>
      <c r="V241" s="1" t="s">
        <v>1023</v>
      </c>
      <c r="AA241" s="1" t="s">
        <v>974</v>
      </c>
      <c r="AB241" s="4">
        <v>38353</v>
      </c>
      <c r="AF241" s="1" t="s">
        <v>1024</v>
      </c>
      <c r="AH241" s="1" t="s">
        <v>1025</v>
      </c>
      <c r="AI241" s="4">
        <v>44838</v>
      </c>
      <c r="AJ241" s="12" t="s">
        <v>1020</v>
      </c>
      <c r="AK241" s="2" t="s">
        <v>1026</v>
      </c>
      <c r="AM241" s="66" t="str">
        <f t="shared" si="3"/>
        <v>https://ensinoiptbr-my.sharepoint.com/personal/ericaugustin_ipt_br/Documents/Documentos/Prototipos/2023/Projeto Controle Ativos/SistemaAtivos2/:f:/s/ControledeAtivos/Es_RL9PmsuRFjEXUl0eHNagBNxsZAKXusUjWotTcWcNbzA?e=lvE2ls</v>
      </c>
    </row>
    <row r="242" spans="1:39" ht="32.4" x14ac:dyDescent="0.35">
      <c r="A242" s="1" t="s">
        <v>26</v>
      </c>
      <c r="B242" s="1">
        <v>4</v>
      </c>
      <c r="C242" s="1" t="s">
        <v>832</v>
      </c>
      <c r="D242" s="1" t="s">
        <v>785</v>
      </c>
      <c r="F242" s="1" t="s">
        <v>1027</v>
      </c>
      <c r="H242" s="1" t="s">
        <v>40</v>
      </c>
      <c r="I242" s="1" t="s">
        <v>1028</v>
      </c>
      <c r="J242" s="1" t="s">
        <v>1029</v>
      </c>
      <c r="O242" s="1" t="s">
        <v>360</v>
      </c>
      <c r="T242" s="1" t="s">
        <v>1030</v>
      </c>
      <c r="V242" s="1" t="s">
        <v>1031</v>
      </c>
      <c r="AF242" s="1" t="s">
        <v>792</v>
      </c>
      <c r="AH242" s="1" t="s">
        <v>1032</v>
      </c>
      <c r="AI242" s="4">
        <v>44848</v>
      </c>
      <c r="AJ242" s="12" t="s">
        <v>1028</v>
      </c>
      <c r="AK242" s="2" t="s">
        <v>793</v>
      </c>
      <c r="AM242" s="66" t="str">
        <f t="shared" si="3"/>
        <v>https://ensinoiptbr.sharepoint.com/:f:/s/ControledeAtivos/EipspponA85IvOr8cN9yCeMBZj3Qgsu1LViAoehceaRxhA?e=f8DYRC</v>
      </c>
    </row>
    <row r="243" spans="1:39" ht="32.4" x14ac:dyDescent="0.35">
      <c r="A243" s="1" t="s">
        <v>26</v>
      </c>
      <c r="B243" s="1">
        <v>4</v>
      </c>
      <c r="C243" s="1" t="s">
        <v>832</v>
      </c>
      <c r="D243" s="1" t="s">
        <v>739</v>
      </c>
      <c r="F243" s="1" t="s">
        <v>1033</v>
      </c>
      <c r="H243" s="1" t="s">
        <v>40</v>
      </c>
      <c r="I243" s="1" t="s">
        <v>1034</v>
      </c>
      <c r="J243" s="1" t="s">
        <v>1035</v>
      </c>
      <c r="O243" s="1" t="s">
        <v>234</v>
      </c>
      <c r="R243" s="1">
        <v>220</v>
      </c>
      <c r="AE243" s="14" t="s">
        <v>1036</v>
      </c>
      <c r="AF243" s="1" t="s">
        <v>1037</v>
      </c>
      <c r="AH243" s="1" t="s">
        <v>75</v>
      </c>
      <c r="AI243" s="4">
        <v>44833</v>
      </c>
      <c r="AJ243" s="12" t="s">
        <v>1038</v>
      </c>
      <c r="AM243" s="66" t="str">
        <f t="shared" si="3"/>
        <v>https://ensinoiptbr.sharepoint.com/:f:/s/ControledeAtivos/EvWe-yaVLlRHgyOoMYGS_X8BwGAZ041RYkWvH2bY-LFCNw?e=KfkBh7</v>
      </c>
    </row>
    <row r="244" spans="1:39" ht="32.4" x14ac:dyDescent="0.35">
      <c r="A244" s="1" t="s">
        <v>26</v>
      </c>
      <c r="B244" s="1">
        <v>4</v>
      </c>
      <c r="C244" s="1" t="s">
        <v>832</v>
      </c>
      <c r="D244" s="1" t="s">
        <v>785</v>
      </c>
      <c r="F244" s="1" t="s">
        <v>1039</v>
      </c>
      <c r="H244" s="1" t="s">
        <v>40</v>
      </c>
      <c r="I244" s="1" t="s">
        <v>1040</v>
      </c>
      <c r="J244" s="1" t="s">
        <v>1041</v>
      </c>
      <c r="O244" s="1" t="s">
        <v>234</v>
      </c>
      <c r="P244" s="1">
        <v>550</v>
      </c>
      <c r="Q244" s="1" t="s">
        <v>97</v>
      </c>
      <c r="R244" s="1">
        <v>220</v>
      </c>
      <c r="V244" s="1" t="s">
        <v>1042</v>
      </c>
      <c r="AC244" s="1" t="s">
        <v>1043</v>
      </c>
      <c r="AE244" s="14" t="s">
        <v>1044</v>
      </c>
      <c r="AF244" s="1" t="s">
        <v>1045</v>
      </c>
      <c r="AH244" s="1" t="s">
        <v>75</v>
      </c>
      <c r="AI244" s="4">
        <v>44833</v>
      </c>
      <c r="AJ244" s="12" t="s">
        <v>1040</v>
      </c>
      <c r="AM244" s="66" t="str">
        <f t="shared" si="3"/>
        <v>https://ensinoiptbr.sharepoint.com/:f:/s/ControledeAtivos/Eqomo7XTue9GkAGc40BaTZMB0W4ZQSWDgtifutUecCu_Jw?e=0AmbDJ</v>
      </c>
    </row>
    <row r="245" spans="1:39" ht="43.2" x14ac:dyDescent="0.35">
      <c r="A245" s="1" t="s">
        <v>26</v>
      </c>
      <c r="B245" s="1">
        <v>4</v>
      </c>
      <c r="C245" s="1" t="s">
        <v>883</v>
      </c>
      <c r="F245" s="1" t="s">
        <v>1046</v>
      </c>
      <c r="H245" s="1" t="s">
        <v>1047</v>
      </c>
      <c r="I245" s="1" t="s">
        <v>1048</v>
      </c>
      <c r="J245" s="1" t="s">
        <v>1049</v>
      </c>
      <c r="O245" s="1" t="s">
        <v>234</v>
      </c>
      <c r="P245" s="1">
        <v>130</v>
      </c>
      <c r="Q245" s="1" t="s">
        <v>97</v>
      </c>
      <c r="R245" s="1">
        <v>230</v>
      </c>
      <c r="V245" s="1" t="s">
        <v>1050</v>
      </c>
      <c r="AA245" s="1" t="s">
        <v>807</v>
      </c>
      <c r="AE245" s="14" t="s">
        <v>1051</v>
      </c>
      <c r="AF245" s="1" t="s">
        <v>1047</v>
      </c>
      <c r="AH245" s="1" t="s">
        <v>890</v>
      </c>
      <c r="AI245" s="4">
        <v>44833</v>
      </c>
      <c r="AJ245" s="12" t="s">
        <v>1048</v>
      </c>
      <c r="AM245" s="66" t="str">
        <f t="shared" si="3"/>
        <v>https://ensinoiptbr.sharepoint.com/:f:/s/ControledeAtivos/EuBiIN9vDshPrs3lnHCdNSIBv7mutuWCNbq__78Ogxq4eg?e=6hcv8G</v>
      </c>
    </row>
    <row r="246" spans="1:39" ht="43.2" x14ac:dyDescent="0.35">
      <c r="A246" s="1" t="s">
        <v>26</v>
      </c>
      <c r="B246" s="1">
        <v>4</v>
      </c>
      <c r="C246" s="1" t="s">
        <v>883</v>
      </c>
      <c r="F246" s="1" t="s">
        <v>1052</v>
      </c>
      <c r="H246" s="1" t="s">
        <v>491</v>
      </c>
      <c r="I246" s="1" t="s">
        <v>1053</v>
      </c>
      <c r="J246" s="1" t="s">
        <v>290</v>
      </c>
      <c r="O246" s="1" t="s">
        <v>234</v>
      </c>
      <c r="P246" s="1">
        <v>2000</v>
      </c>
      <c r="Q246" s="1" t="s">
        <v>97</v>
      </c>
      <c r="R246" s="1">
        <v>220</v>
      </c>
      <c r="V246" s="1" t="s">
        <v>1054</v>
      </c>
      <c r="AA246" s="1" t="s">
        <v>807</v>
      </c>
      <c r="AE246" s="14" t="s">
        <v>1055</v>
      </c>
      <c r="AF246" s="1" t="s">
        <v>1056</v>
      </c>
      <c r="AH246" s="1" t="s">
        <v>75</v>
      </c>
      <c r="AI246" s="4">
        <v>44833</v>
      </c>
      <c r="AJ246" s="12" t="s">
        <v>1057</v>
      </c>
      <c r="AM246" s="66" t="str">
        <f t="shared" si="3"/>
        <v>https://ensinoiptbr.sharepoint.com/:f:/s/ControledeAtivos/EqxnkjJMrzJLgwrrOKW0wcIBYTnNOG7sjOvVuhmWOcBL2Q?e=xZLYY7</v>
      </c>
    </row>
    <row r="247" spans="1:39" ht="32.4" x14ac:dyDescent="0.35">
      <c r="A247" s="1" t="s">
        <v>26</v>
      </c>
      <c r="B247" s="1">
        <v>4</v>
      </c>
      <c r="C247" s="1" t="s">
        <v>832</v>
      </c>
      <c r="D247" s="1" t="s">
        <v>785</v>
      </c>
      <c r="F247" s="1" t="s">
        <v>1058</v>
      </c>
      <c r="H247" s="1" t="s">
        <v>1059</v>
      </c>
      <c r="I247" s="1" t="s">
        <v>1060</v>
      </c>
      <c r="J247" s="1" t="s">
        <v>1061</v>
      </c>
      <c r="O247" s="1" t="s">
        <v>234</v>
      </c>
      <c r="R247" s="1">
        <v>220</v>
      </c>
      <c r="V247" s="1" t="s">
        <v>1062</v>
      </c>
      <c r="AE247" s="14" t="s">
        <v>1063</v>
      </c>
      <c r="AF247" s="1" t="s">
        <v>1064</v>
      </c>
      <c r="AI247" s="4">
        <v>44838</v>
      </c>
      <c r="AJ247" s="12" t="s">
        <v>1060</v>
      </c>
      <c r="AM247" s="66" t="str">
        <f t="shared" si="3"/>
        <v>https://ensinoiptbr.sharepoint.com/:f:/s/ControledeAtivos/EnK703gB5flApLn5RbV9neMBdmqQvG73bBYeS5j6-1mHmw?e=dNdOfQ</v>
      </c>
    </row>
    <row r="248" spans="1:39" ht="32.4" x14ac:dyDescent="0.35">
      <c r="A248" s="1" t="s">
        <v>26</v>
      </c>
      <c r="B248" s="1">
        <v>4</v>
      </c>
      <c r="C248" s="1" t="s">
        <v>832</v>
      </c>
      <c r="D248" s="1" t="s">
        <v>785</v>
      </c>
      <c r="F248" s="1" t="s">
        <v>1065</v>
      </c>
      <c r="H248" s="1" t="s">
        <v>1059</v>
      </c>
      <c r="I248" s="1" t="s">
        <v>1066</v>
      </c>
      <c r="J248" s="1" t="s">
        <v>1061</v>
      </c>
      <c r="O248" s="1" t="s">
        <v>360</v>
      </c>
      <c r="R248" s="1">
        <v>220</v>
      </c>
      <c r="V248" s="1" t="s">
        <v>1067</v>
      </c>
      <c r="AF248" s="1" t="s">
        <v>1064</v>
      </c>
      <c r="AI248" s="4">
        <v>44838</v>
      </c>
      <c r="AJ248" s="12" t="s">
        <v>1066</v>
      </c>
      <c r="AM248" s="66" t="str">
        <f t="shared" si="3"/>
        <v>https://ensinoiptbr.sharepoint.com/:f:/s/ControledeAtivos/EhxHNIDbw-tBl7rgehSFKlABNbHPCJtmwFBFVm6fYtoe4g?e=npolib</v>
      </c>
    </row>
    <row r="249" spans="1:39" ht="32.4" x14ac:dyDescent="0.35">
      <c r="A249" s="1" t="s">
        <v>26</v>
      </c>
      <c r="B249" s="1">
        <v>4</v>
      </c>
      <c r="C249" s="1" t="s">
        <v>832</v>
      </c>
      <c r="D249" s="1" t="s">
        <v>785</v>
      </c>
      <c r="F249" s="1" t="s">
        <v>1068</v>
      </c>
      <c r="H249" s="1" t="s">
        <v>1068</v>
      </c>
      <c r="I249" s="1" t="s">
        <v>1069</v>
      </c>
      <c r="J249" s="1" t="s">
        <v>282</v>
      </c>
      <c r="O249" s="1" t="s">
        <v>360</v>
      </c>
      <c r="R249" s="1">
        <v>110</v>
      </c>
      <c r="V249" s="1" t="s">
        <v>1070</v>
      </c>
      <c r="AD249" s="1" t="s">
        <v>1071</v>
      </c>
      <c r="AE249" s="14" t="s">
        <v>1072</v>
      </c>
      <c r="AF249" s="1" t="s">
        <v>1073</v>
      </c>
      <c r="AI249" s="4">
        <v>44838</v>
      </c>
      <c r="AJ249" s="12" t="s">
        <v>1069</v>
      </c>
      <c r="AM249" s="66" t="str">
        <f t="shared" si="3"/>
        <v>https://ensinoiptbr.sharepoint.com/:f:/s/ControledeAtivos/EmVGozBOv7ZGuufSctPWqlYBp_WTjhNJAdS4-vNiUAHMQA?e=KKKGhD</v>
      </c>
    </row>
    <row r="250" spans="1:39" ht="32.4" x14ac:dyDescent="0.35">
      <c r="A250" s="1" t="s">
        <v>26</v>
      </c>
      <c r="B250" s="1">
        <v>4</v>
      </c>
      <c r="C250" s="1" t="s">
        <v>832</v>
      </c>
      <c r="D250" s="1" t="s">
        <v>739</v>
      </c>
      <c r="F250" s="1" t="s">
        <v>1074</v>
      </c>
      <c r="H250" s="1" t="s">
        <v>1075</v>
      </c>
      <c r="I250" s="1" t="s">
        <v>1076</v>
      </c>
      <c r="J250" s="1" t="s">
        <v>1077</v>
      </c>
      <c r="O250" s="1" t="s">
        <v>914</v>
      </c>
      <c r="R250" s="1">
        <v>220</v>
      </c>
      <c r="V250" s="1" t="s">
        <v>1078</v>
      </c>
      <c r="AA250" s="1" t="s">
        <v>860</v>
      </c>
      <c r="AE250" s="14" t="s">
        <v>1079</v>
      </c>
      <c r="AF250" s="1" t="s">
        <v>1080</v>
      </c>
      <c r="AH250" s="1" t="s">
        <v>75</v>
      </c>
      <c r="AI250" s="4">
        <v>44876</v>
      </c>
      <c r="AJ250" s="12" t="s">
        <v>1076</v>
      </c>
      <c r="AM250" s="66" t="str">
        <f t="shared" si="3"/>
        <v>https://ensinoiptbr.sharepoint.com/:f:/s/ControledeAtivos/ErqpZHelcchDvQDwIAFB93gBsp3HgKIebUWWfkHTFbgtXw?e=20JuVO</v>
      </c>
    </row>
    <row r="251" spans="1:39" ht="43.2" x14ac:dyDescent="0.35">
      <c r="A251" s="1" t="s">
        <v>26</v>
      </c>
      <c r="B251" s="1">
        <v>4</v>
      </c>
      <c r="C251" s="1" t="s">
        <v>1081</v>
      </c>
      <c r="F251" s="1" t="s">
        <v>1082</v>
      </c>
      <c r="H251" s="1" t="s">
        <v>671</v>
      </c>
      <c r="I251" s="60" t="s">
        <v>1083</v>
      </c>
      <c r="J251" s="1" t="s">
        <v>1084</v>
      </c>
      <c r="O251" s="1" t="s">
        <v>360</v>
      </c>
      <c r="Q251" s="1" t="s">
        <v>1085</v>
      </c>
      <c r="R251" s="1">
        <v>110</v>
      </c>
      <c r="S251" s="1">
        <v>220</v>
      </c>
      <c r="T251" s="1" t="s">
        <v>1086</v>
      </c>
      <c r="V251" s="1" t="s">
        <v>1087</v>
      </c>
      <c r="AA251" s="1" t="s">
        <v>119</v>
      </c>
      <c r="AB251" s="4">
        <v>35065</v>
      </c>
      <c r="AE251" s="14" t="s">
        <v>1088</v>
      </c>
      <c r="AF251" s="1" t="s">
        <v>777</v>
      </c>
      <c r="AH251" s="1" t="s">
        <v>75</v>
      </c>
      <c r="AI251" s="4">
        <v>44862</v>
      </c>
      <c r="AJ251" s="12" t="s">
        <v>1083</v>
      </c>
      <c r="AK251" s="2" t="s">
        <v>1089</v>
      </c>
      <c r="AM251" s="66" t="str">
        <f t="shared" si="3"/>
        <v>https://ensinoiptbr.sharepoint.com/:f:/s/ControledeAtivos/EsM29llTLtREmfd5JdREdDkBozzLBmBB-84tfwiriyXRCw?e=vuqzGF</v>
      </c>
    </row>
    <row r="252" spans="1:39" ht="32.4" x14ac:dyDescent="0.35">
      <c r="A252" s="1" t="s">
        <v>26</v>
      </c>
      <c r="B252" s="1">
        <v>4</v>
      </c>
      <c r="C252" s="1" t="s">
        <v>832</v>
      </c>
      <c r="D252" s="1" t="s">
        <v>739</v>
      </c>
      <c r="F252" s="1" t="s">
        <v>1090</v>
      </c>
      <c r="H252" s="1" t="s">
        <v>671</v>
      </c>
      <c r="I252" s="60" t="s">
        <v>1091</v>
      </c>
      <c r="J252" s="1" t="s">
        <v>1092</v>
      </c>
      <c r="O252" s="1" t="s">
        <v>360</v>
      </c>
      <c r="AA252" s="1" t="s">
        <v>119</v>
      </c>
      <c r="AE252" s="14" t="s">
        <v>1093</v>
      </c>
      <c r="AH252" s="1" t="s">
        <v>1094</v>
      </c>
      <c r="AI252" s="4">
        <v>44838</v>
      </c>
      <c r="AJ252" s="12" t="s">
        <v>1091</v>
      </c>
      <c r="AK252" s="2" t="s">
        <v>47</v>
      </c>
      <c r="AM252" s="66" t="str">
        <f t="shared" si="3"/>
        <v>https://ensinoiptbr.sharepoint.com/:f:/s/ControledeAtivos/Eg7ofUDoZLpLohRejMql58gBsTIBg31KpZXXhYWIr87F7A?e=S414j6</v>
      </c>
    </row>
    <row r="253" spans="1:39" ht="32.4" x14ac:dyDescent="0.35">
      <c r="A253" s="1" t="s">
        <v>26</v>
      </c>
      <c r="B253" s="1">
        <v>4</v>
      </c>
      <c r="C253" s="1" t="s">
        <v>832</v>
      </c>
      <c r="D253" s="1" t="s">
        <v>739</v>
      </c>
      <c r="F253" s="1" t="s">
        <v>1095</v>
      </c>
      <c r="H253" s="1" t="s">
        <v>671</v>
      </c>
      <c r="I253" s="1" t="s">
        <v>1096</v>
      </c>
      <c r="J253" s="1" t="s">
        <v>1092</v>
      </c>
      <c r="O253" s="1" t="s">
        <v>360</v>
      </c>
      <c r="AE253" s="14" t="s">
        <v>1097</v>
      </c>
      <c r="AF253" s="1" t="s">
        <v>777</v>
      </c>
      <c r="AH253" s="1" t="s">
        <v>1098</v>
      </c>
      <c r="AI253" s="4">
        <v>44838</v>
      </c>
      <c r="AJ253" s="12" t="s">
        <v>1096</v>
      </c>
      <c r="AM253" s="66" t="str">
        <f t="shared" si="3"/>
        <v>https://ensinoiptbr.sharepoint.com/:f:/s/ControledeAtivos/EiU8WEwtL9ZBqGaosrss7CIB0bBRJTgo1MBmhZcGbun8tQ?e=WB6UQq</v>
      </c>
    </row>
    <row r="254" spans="1:39" ht="32.4" x14ac:dyDescent="0.35">
      <c r="A254" s="1" t="s">
        <v>26</v>
      </c>
      <c r="B254" s="1">
        <v>4</v>
      </c>
      <c r="C254" s="1" t="s">
        <v>832</v>
      </c>
      <c r="D254" s="1" t="s">
        <v>739</v>
      </c>
      <c r="F254" s="1" t="s">
        <v>1099</v>
      </c>
      <c r="H254" s="1" t="s">
        <v>671</v>
      </c>
      <c r="I254" s="1" t="s">
        <v>1100</v>
      </c>
      <c r="J254" s="1" t="s">
        <v>1084</v>
      </c>
      <c r="O254" s="1" t="s">
        <v>234</v>
      </c>
      <c r="AE254" s="14" t="s">
        <v>1101</v>
      </c>
      <c r="AF254" s="1" t="s">
        <v>777</v>
      </c>
      <c r="AJ254" s="12" t="s">
        <v>1100</v>
      </c>
      <c r="AM254" s="66" t="str">
        <f t="shared" si="3"/>
        <v>https://ensinoiptbr.sharepoint.com/:f:/s/ControledeAtivos/EvcRMhlwU41Ht3sKis8-AHUBfgC_w7kHt5xyNpHDRPM2aQ?e=Oc8Xna</v>
      </c>
    </row>
    <row r="255" spans="1:39" ht="32.4" x14ac:dyDescent="0.35">
      <c r="A255" s="1" t="s">
        <v>26</v>
      </c>
      <c r="B255" s="1">
        <v>4</v>
      </c>
      <c r="C255" s="1" t="s">
        <v>832</v>
      </c>
      <c r="D255" s="1" t="s">
        <v>739</v>
      </c>
      <c r="F255" s="1" t="s">
        <v>1102</v>
      </c>
      <c r="H255" s="1" t="s">
        <v>671</v>
      </c>
      <c r="I255" s="1" t="s">
        <v>1103</v>
      </c>
      <c r="J255" s="1" t="s">
        <v>686</v>
      </c>
      <c r="O255" s="1" t="s">
        <v>234</v>
      </c>
      <c r="V255" s="1" t="s">
        <v>1104</v>
      </c>
      <c r="AD255" s="1" t="s">
        <v>754</v>
      </c>
      <c r="AE255" s="14" t="s">
        <v>755</v>
      </c>
      <c r="AF255" s="1" t="s">
        <v>777</v>
      </c>
      <c r="AJ255" s="12" t="s">
        <v>1103</v>
      </c>
      <c r="AM255" s="66" t="str">
        <f t="shared" si="3"/>
        <v>https://ensinoiptbr.sharepoint.com/:f:/s/ControledeAtivos/EppDvAMK1a1Di6bzkZypwGIB3FbQQ-yVGWu5xlanZH6Zig?e=LOtehO</v>
      </c>
    </row>
    <row r="256" spans="1:39" ht="32.4" x14ac:dyDescent="0.35">
      <c r="A256" s="1" t="s">
        <v>26</v>
      </c>
      <c r="B256" s="1">
        <v>4</v>
      </c>
      <c r="C256" s="1" t="s">
        <v>832</v>
      </c>
      <c r="D256" s="1" t="s">
        <v>739</v>
      </c>
      <c r="F256" s="1" t="s">
        <v>1105</v>
      </c>
      <c r="H256" s="1" t="s">
        <v>671</v>
      </c>
      <c r="I256" s="1" t="s">
        <v>1106</v>
      </c>
      <c r="J256" s="1" t="s">
        <v>1092</v>
      </c>
      <c r="O256" s="1" t="s">
        <v>234</v>
      </c>
      <c r="AE256" s="14" t="s">
        <v>1107</v>
      </c>
      <c r="AF256" s="1" t="s">
        <v>777</v>
      </c>
      <c r="AH256" s="1" t="s">
        <v>75</v>
      </c>
      <c r="AI256" s="4">
        <v>44862</v>
      </c>
      <c r="AJ256" s="12" t="s">
        <v>1106</v>
      </c>
      <c r="AM256" s="66" t="str">
        <f t="shared" si="3"/>
        <v>https://ensinoiptbr.sharepoint.com/:f:/s/ControledeAtivos/EitTd7ZHuxlMrzZeT_CSQxABAwqMTRG3LyGnY8aeTLHgfw?e=YiEE05</v>
      </c>
    </row>
    <row r="257" spans="1:39" ht="32.4" x14ac:dyDescent="0.35">
      <c r="A257" s="1" t="s">
        <v>26</v>
      </c>
      <c r="B257" s="1">
        <v>4</v>
      </c>
      <c r="C257" s="1" t="s">
        <v>832</v>
      </c>
      <c r="D257" s="1" t="s">
        <v>739</v>
      </c>
      <c r="F257" s="1" t="s">
        <v>1108</v>
      </c>
      <c r="H257" s="1" t="s">
        <v>671</v>
      </c>
      <c r="I257" s="1" t="s">
        <v>1109</v>
      </c>
      <c r="J257" s="1" t="s">
        <v>1084</v>
      </c>
      <c r="O257" s="1" t="s">
        <v>234</v>
      </c>
      <c r="R257" s="1">
        <v>110</v>
      </c>
      <c r="S257" s="1">
        <v>220</v>
      </c>
      <c r="V257" s="1" t="s">
        <v>1110</v>
      </c>
      <c r="AB257" s="4">
        <v>32509</v>
      </c>
      <c r="AD257" s="1" t="s">
        <v>754</v>
      </c>
      <c r="AE257" s="14" t="s">
        <v>755</v>
      </c>
      <c r="AF257" s="1" t="s">
        <v>777</v>
      </c>
      <c r="AJ257" s="12" t="s">
        <v>1109</v>
      </c>
      <c r="AM257" s="66" t="str">
        <f t="shared" si="3"/>
        <v>https://ensinoiptbr.sharepoint.com/:f:/s/ControledeAtivos/Eo4KMZnLledLiUrON5gMHu0BZSc-ztud3Ix8QYPgMmCkCg?e=lwu8DW</v>
      </c>
    </row>
    <row r="258" spans="1:39" ht="43.2" x14ac:dyDescent="0.35">
      <c r="A258" s="1" t="s">
        <v>26</v>
      </c>
      <c r="B258" s="1">
        <v>4</v>
      </c>
      <c r="C258" s="1" t="s">
        <v>883</v>
      </c>
      <c r="F258" s="1" t="s">
        <v>1111</v>
      </c>
      <c r="H258" s="1" t="s">
        <v>671</v>
      </c>
      <c r="I258" s="1" t="s">
        <v>1112</v>
      </c>
      <c r="J258" s="1" t="s">
        <v>1084</v>
      </c>
      <c r="O258" s="1" t="s">
        <v>1113</v>
      </c>
      <c r="R258" s="1">
        <v>110</v>
      </c>
      <c r="S258" s="1">
        <v>220</v>
      </c>
      <c r="V258" s="1" t="s">
        <v>1114</v>
      </c>
      <c r="W258" s="1">
        <v>50</v>
      </c>
      <c r="X258" s="1" t="s">
        <v>345</v>
      </c>
      <c r="AA258" s="1" t="s">
        <v>119</v>
      </c>
      <c r="AB258" s="4">
        <v>35796</v>
      </c>
      <c r="AD258" s="1" t="s">
        <v>754</v>
      </c>
      <c r="AE258" s="14" t="s">
        <v>755</v>
      </c>
      <c r="AF258" s="1" t="s">
        <v>1115</v>
      </c>
      <c r="AH258" s="1" t="s">
        <v>75</v>
      </c>
      <c r="AI258" s="4">
        <v>44862</v>
      </c>
      <c r="AJ258" s="62" t="s">
        <v>1116</v>
      </c>
      <c r="AM258" s="66" t="str">
        <f t="shared" si="3"/>
        <v>https://ensinoiptbr.sharepoint.com/:f:/s/ControledeAtivos/EjopoN8S1tFIsjV5yv74J6IBNEjXQCBV8TTse8EIyVP4mQ?e=mMUg4v</v>
      </c>
    </row>
    <row r="259" spans="1:39" ht="43.2" x14ac:dyDescent="0.35">
      <c r="A259" s="1" t="s">
        <v>26</v>
      </c>
      <c r="B259" s="1">
        <v>4</v>
      </c>
      <c r="C259" s="1" t="s">
        <v>891</v>
      </c>
      <c r="F259" s="1" t="s">
        <v>1117</v>
      </c>
      <c r="H259" s="1" t="s">
        <v>671</v>
      </c>
      <c r="I259" s="1" t="s">
        <v>1116</v>
      </c>
      <c r="J259" s="1" t="s">
        <v>1084</v>
      </c>
      <c r="O259" s="1" t="s">
        <v>234</v>
      </c>
      <c r="P259" s="1">
        <v>6.7</v>
      </c>
      <c r="Q259" s="1" t="s">
        <v>97</v>
      </c>
      <c r="R259" s="1">
        <v>110</v>
      </c>
      <c r="S259" s="1">
        <v>220</v>
      </c>
      <c r="V259" s="1" t="s">
        <v>1118</v>
      </c>
      <c r="AA259" s="1" t="s">
        <v>807</v>
      </c>
      <c r="AB259" s="77">
        <v>36161</v>
      </c>
      <c r="AE259" s="14" t="s">
        <v>1119</v>
      </c>
      <c r="AF259" s="1" t="s">
        <v>777</v>
      </c>
      <c r="AI259" s="4">
        <v>44862</v>
      </c>
      <c r="AJ259" s="12" t="s">
        <v>1112</v>
      </c>
      <c r="AK259" s="20" t="s">
        <v>846</v>
      </c>
      <c r="AM259" s="66" t="str">
        <f t="shared" ref="AM259:AM322" si="4">ExtrairCaminhoHiperlink(AJ259)</f>
        <v>https://ensinoiptbr.sharepoint.com/:f:/s/ControledeAtivos/EoMF3t9x5cFAj4tFasUUi7YBSRgoXWUmSS8OGPz2eSJ0Ug?e=qbn1ra</v>
      </c>
    </row>
    <row r="260" spans="1:39" ht="32.4" x14ac:dyDescent="0.35">
      <c r="A260" s="1" t="s">
        <v>26</v>
      </c>
      <c r="B260" s="1">
        <v>4</v>
      </c>
      <c r="C260" s="1" t="s">
        <v>739</v>
      </c>
      <c r="F260" s="1" t="s">
        <v>1127</v>
      </c>
      <c r="H260" s="1" t="s">
        <v>697</v>
      </c>
      <c r="I260" s="1" t="s">
        <v>1128</v>
      </c>
      <c r="J260" s="1" t="s">
        <v>1129</v>
      </c>
      <c r="O260" s="1" t="s">
        <v>234</v>
      </c>
      <c r="V260" s="1" t="s">
        <v>1130</v>
      </c>
      <c r="AA260" s="1" t="s">
        <v>807</v>
      </c>
      <c r="AB260" s="4">
        <v>40909</v>
      </c>
      <c r="AE260" s="14" t="s">
        <v>1131</v>
      </c>
      <c r="AF260" s="1" t="s">
        <v>1132</v>
      </c>
      <c r="AH260" s="1" t="s">
        <v>1133</v>
      </c>
      <c r="AI260" s="4">
        <v>44833</v>
      </c>
      <c r="AJ260" s="12" t="s">
        <v>1134</v>
      </c>
      <c r="AM260" s="66" t="str">
        <f t="shared" si="4"/>
        <v>https://ensinoiptbr.sharepoint.com/:f:/s/ControledeAtivos/Eoc79Teh5OlPrRk2etMlPt8BQWbAh6MH-nVck5qNU06M9Q?e=y90e3r</v>
      </c>
    </row>
    <row r="261" spans="1:39" ht="43.2" x14ac:dyDescent="0.35">
      <c r="A261" s="1" t="s">
        <v>26</v>
      </c>
      <c r="B261" s="1">
        <v>4</v>
      </c>
      <c r="C261" s="1" t="s">
        <v>891</v>
      </c>
      <c r="F261" s="1" t="s">
        <v>1135</v>
      </c>
      <c r="H261" s="1" t="s">
        <v>712</v>
      </c>
      <c r="I261" s="1" t="s">
        <v>1136</v>
      </c>
      <c r="J261" s="1" t="s">
        <v>290</v>
      </c>
      <c r="O261" s="1" t="s">
        <v>360</v>
      </c>
      <c r="P261" s="1">
        <v>1800</v>
      </c>
      <c r="Q261" s="1" t="s">
        <v>97</v>
      </c>
      <c r="R261" s="1">
        <v>220</v>
      </c>
      <c r="V261" s="1" t="s">
        <v>1137</v>
      </c>
      <c r="AA261" s="1" t="s">
        <v>807</v>
      </c>
      <c r="AE261" s="14" t="s">
        <v>1138</v>
      </c>
      <c r="AF261" s="1" t="s">
        <v>1139</v>
      </c>
      <c r="AH261" s="1" t="s">
        <v>862</v>
      </c>
      <c r="AI261" s="4">
        <v>44848</v>
      </c>
      <c r="AJ261" s="12" t="s">
        <v>1136</v>
      </c>
      <c r="AM261" s="66" t="str">
        <f t="shared" si="4"/>
        <v>https://ensinoiptbr.sharepoint.com/:f:/s/ControledeAtivos/EtSIR4xO_vtJlR7BkCA1eIEBahB-8vZrXjaZZlMYPrnluQ?e=4KONiI</v>
      </c>
    </row>
    <row r="262" spans="1:39" ht="43.2" x14ac:dyDescent="0.35">
      <c r="A262" s="1" t="s">
        <v>26</v>
      </c>
      <c r="B262" s="1">
        <v>4</v>
      </c>
      <c r="C262" s="1" t="s">
        <v>785</v>
      </c>
      <c r="F262" s="1" t="s">
        <v>1140</v>
      </c>
      <c r="H262" s="1" t="s">
        <v>712</v>
      </c>
      <c r="I262" s="1" t="s">
        <v>1141</v>
      </c>
      <c r="J262" s="1" t="s">
        <v>1049</v>
      </c>
      <c r="O262" s="1" t="s">
        <v>1142</v>
      </c>
      <c r="P262" s="1">
        <v>1200</v>
      </c>
      <c r="Q262" s="1" t="s">
        <v>97</v>
      </c>
      <c r="R262" s="1">
        <v>230</v>
      </c>
      <c r="V262" s="1" t="s">
        <v>1143</v>
      </c>
      <c r="AA262" s="1" t="s">
        <v>807</v>
      </c>
      <c r="AD262" s="1" t="s">
        <v>754</v>
      </c>
      <c r="AE262" s="14" t="s">
        <v>755</v>
      </c>
      <c r="AF262" s="1" t="s">
        <v>1139</v>
      </c>
      <c r="AH262" s="1" t="s">
        <v>870</v>
      </c>
      <c r="AI262" s="4">
        <v>44848</v>
      </c>
      <c r="AJ262" s="12" t="s">
        <v>1141</v>
      </c>
      <c r="AM262" s="66" t="str">
        <f t="shared" si="4"/>
        <v>https://ensinoiptbr.sharepoint.com/:f:/s/ControledeAtivos/En2jCTl1F_hGrJaiSW6PppsBE8Qfrc5dtFtKDXGNFQnOQw?e=JMJKNf</v>
      </c>
    </row>
    <row r="263" spans="1:39" ht="32.4" x14ac:dyDescent="0.35">
      <c r="A263" s="1" t="s">
        <v>26</v>
      </c>
      <c r="B263" s="1">
        <v>4</v>
      </c>
      <c r="C263" s="1" t="s">
        <v>832</v>
      </c>
      <c r="D263" s="1" t="s">
        <v>739</v>
      </c>
      <c r="F263" s="1" t="s">
        <v>1144</v>
      </c>
      <c r="H263" s="1" t="s">
        <v>1145</v>
      </c>
      <c r="I263" s="1" t="s">
        <v>1146</v>
      </c>
      <c r="J263" s="1" t="s">
        <v>1147</v>
      </c>
      <c r="O263" s="1" t="s">
        <v>234</v>
      </c>
      <c r="R263" s="1">
        <v>220</v>
      </c>
      <c r="V263" s="1">
        <v>800</v>
      </c>
      <c r="AE263" s="14" t="s">
        <v>1148</v>
      </c>
      <c r="AF263" s="1" t="s">
        <v>1149</v>
      </c>
      <c r="AH263" s="1" t="s">
        <v>75</v>
      </c>
      <c r="AI263" s="4">
        <v>44833</v>
      </c>
      <c r="AJ263" s="12" t="s">
        <v>1150</v>
      </c>
      <c r="AM263" s="66" t="str">
        <f t="shared" si="4"/>
        <v>https://ensinoiptbr.sharepoint.com/:f:/s/ControledeAtivos/EsdMQn8I4HxCiQMJGk5SHEYBidTQFWk_oskmNXuf0fUcTw?e=KdoWB1</v>
      </c>
    </row>
    <row r="264" spans="1:39" ht="43.2" x14ac:dyDescent="0.35">
      <c r="A264" s="1" t="s">
        <v>26</v>
      </c>
      <c r="B264" s="1">
        <v>4</v>
      </c>
      <c r="C264" s="1" t="s">
        <v>1158</v>
      </c>
      <c r="E264" s="1" t="s">
        <v>1159</v>
      </c>
      <c r="F264" s="1" t="s">
        <v>1160</v>
      </c>
      <c r="H264" s="1" t="s">
        <v>1161</v>
      </c>
      <c r="I264" s="1" t="s">
        <v>1162</v>
      </c>
      <c r="J264" s="1" t="s">
        <v>1163</v>
      </c>
      <c r="K264" s="1" t="s">
        <v>1164</v>
      </c>
      <c r="L264" s="68">
        <v>81663.06</v>
      </c>
      <c r="M264" s="1" t="s">
        <v>284</v>
      </c>
      <c r="O264" s="1" t="s">
        <v>1165</v>
      </c>
      <c r="AA264" s="1" t="s">
        <v>1166</v>
      </c>
      <c r="AB264" s="4">
        <v>44197</v>
      </c>
      <c r="AF264" s="1" t="s">
        <v>1167</v>
      </c>
      <c r="AH264" s="1" t="s">
        <v>154</v>
      </c>
      <c r="AI264" s="4">
        <v>44862</v>
      </c>
      <c r="AJ264" s="12" t="s">
        <v>1162</v>
      </c>
      <c r="AM264" s="66" t="str">
        <f t="shared" si="4"/>
        <v>https://ensinoiptbr.sharepoint.com/:f:/s/ControledeAtivos/EiEBjFCFDfpOoYQ4j2tdZMMBs1lhEsAO2QQ9tLck-TC9DA?e=15dgdF</v>
      </c>
    </row>
    <row r="265" spans="1:39" ht="43.2" x14ac:dyDescent="0.35">
      <c r="A265" s="1" t="s">
        <v>26</v>
      </c>
      <c r="B265" s="1">
        <v>4</v>
      </c>
      <c r="C265" s="1" t="s">
        <v>891</v>
      </c>
      <c r="F265" s="1" t="s">
        <v>1168</v>
      </c>
      <c r="H265" s="1" t="s">
        <v>1161</v>
      </c>
      <c r="I265" s="1" t="s">
        <v>1169</v>
      </c>
      <c r="J265" s="1" t="s">
        <v>1170</v>
      </c>
      <c r="O265" s="1" t="s">
        <v>360</v>
      </c>
      <c r="R265" s="1">
        <v>110</v>
      </c>
      <c r="S265" s="1">
        <v>220</v>
      </c>
      <c r="V265" s="1" t="s">
        <v>1171</v>
      </c>
      <c r="AE265" s="14" t="s">
        <v>1172</v>
      </c>
      <c r="AF265" s="1" t="s">
        <v>1173</v>
      </c>
      <c r="AH265" s="1" t="s">
        <v>1174</v>
      </c>
      <c r="AI265" s="4">
        <v>44862</v>
      </c>
      <c r="AJ265" s="12" t="s">
        <v>1169</v>
      </c>
      <c r="AM265" s="66" t="str">
        <f t="shared" si="4"/>
        <v>https://ensinoiptbr.sharepoint.com/:f:/s/ControledeAtivos/EgTB9vyWm9xIutW7afKHVbYBX1YHwroVl66Nhz0Tuxk7XQ?e=TOn0iE</v>
      </c>
    </row>
    <row r="266" spans="1:39" ht="81" x14ac:dyDescent="0.35">
      <c r="A266" s="1" t="s">
        <v>26</v>
      </c>
      <c r="B266" s="1">
        <v>4</v>
      </c>
      <c r="C266" s="1" t="s">
        <v>883</v>
      </c>
      <c r="F266" s="1" t="s">
        <v>1175</v>
      </c>
      <c r="H266" s="1" t="s">
        <v>724</v>
      </c>
      <c r="I266" s="1" t="s">
        <v>1176</v>
      </c>
      <c r="J266" s="1" t="s">
        <v>126</v>
      </c>
      <c r="O266" s="1" t="s">
        <v>234</v>
      </c>
      <c r="P266" s="1">
        <v>250</v>
      </c>
      <c r="Q266" s="1" t="s">
        <v>97</v>
      </c>
      <c r="R266" s="1">
        <v>220</v>
      </c>
      <c r="V266" s="1" t="s">
        <v>1177</v>
      </c>
      <c r="AA266" s="1" t="s">
        <v>807</v>
      </c>
      <c r="AD266" s="1" t="s">
        <v>754</v>
      </c>
      <c r="AE266" s="14" t="s">
        <v>755</v>
      </c>
      <c r="AF266" s="1" t="s">
        <v>1178</v>
      </c>
      <c r="AI266" s="4">
        <v>44827</v>
      </c>
      <c r="AJ266" s="12" t="s">
        <v>1176</v>
      </c>
      <c r="AK266" s="2" t="s">
        <v>1089</v>
      </c>
      <c r="AM266" s="66" t="str">
        <f t="shared" si="4"/>
        <v>https://ensinoiptbr-my.sharepoint.com/personal/ericaugustin_ipt_br/Documents/Documentos/Prototipos/2023/Projeto Controle Ativos/SistemaAtivos2/:f:/s/ControledeAtivos/Eir9Jko7WHhHivQcrJfxXS0Bws4LXkSZoNWAPeBUz3-JUA?e=tlMHNr</v>
      </c>
    </row>
    <row r="267" spans="1:39" ht="43.2" x14ac:dyDescent="0.35">
      <c r="A267" s="1" t="s">
        <v>26</v>
      </c>
      <c r="B267" s="1">
        <v>4</v>
      </c>
      <c r="C267" s="1" t="s">
        <v>883</v>
      </c>
      <c r="F267" s="1" t="s">
        <v>1179</v>
      </c>
      <c r="H267" s="1" t="s">
        <v>724</v>
      </c>
      <c r="I267" s="1" t="s">
        <v>1180</v>
      </c>
      <c r="J267" s="1" t="s">
        <v>126</v>
      </c>
      <c r="O267" s="1" t="s">
        <v>234</v>
      </c>
      <c r="P267" s="1">
        <v>250</v>
      </c>
      <c r="Q267" s="1" t="s">
        <v>97</v>
      </c>
      <c r="R267" s="1">
        <v>220</v>
      </c>
      <c r="V267" s="1" t="s">
        <v>1181</v>
      </c>
      <c r="AA267" s="1" t="s">
        <v>807</v>
      </c>
      <c r="AB267" s="4">
        <v>39083</v>
      </c>
      <c r="AE267" s="14" t="s">
        <v>1182</v>
      </c>
      <c r="AF267" s="1" t="s">
        <v>1178</v>
      </c>
      <c r="AI267" s="4">
        <v>44862</v>
      </c>
      <c r="AJ267" s="12" t="s">
        <v>1180</v>
      </c>
      <c r="AM267" s="66" t="str">
        <f t="shared" si="4"/>
        <v>https://ensinoiptbr.sharepoint.com/:f:/s/ControledeAtivos/EjrzdsIVHYlCuSnDusSGEZUBOewpeWPWTf0Yc-q8MjocGw?e=VXIIqt</v>
      </c>
    </row>
    <row r="268" spans="1:39" ht="28.8" x14ac:dyDescent="0.35">
      <c r="A268" s="1" t="s">
        <v>26</v>
      </c>
      <c r="B268" s="1">
        <v>4</v>
      </c>
      <c r="C268" s="1" t="s">
        <v>832</v>
      </c>
      <c r="D268" s="1" t="s">
        <v>785</v>
      </c>
      <c r="F268" s="5" t="s">
        <v>2091</v>
      </c>
      <c r="H268" s="1" t="s">
        <v>464</v>
      </c>
      <c r="I268" s="1" t="s">
        <v>2092</v>
      </c>
      <c r="J268" s="1" t="s">
        <v>2093</v>
      </c>
      <c r="N268" s="1">
        <v>1</v>
      </c>
      <c r="O268" s="1" t="s">
        <v>234</v>
      </c>
      <c r="P268" s="1">
        <v>5000</v>
      </c>
      <c r="Q268" s="1" t="s">
        <v>97</v>
      </c>
      <c r="R268" s="1">
        <v>100</v>
      </c>
      <c r="V268" s="1" t="s">
        <v>2094</v>
      </c>
      <c r="W268" s="1">
        <v>1700</v>
      </c>
      <c r="X268" s="1" t="s">
        <v>996</v>
      </c>
      <c r="AD268" s="1" t="s">
        <v>191</v>
      </c>
      <c r="AE268" s="14" t="s">
        <v>2095</v>
      </c>
      <c r="AF268" s="1" t="s">
        <v>2096</v>
      </c>
      <c r="AH268" s="1" t="s">
        <v>75</v>
      </c>
      <c r="AI268" s="4">
        <v>44833</v>
      </c>
      <c r="AM268" s="66" t="str">
        <f t="shared" si="4"/>
        <v/>
      </c>
    </row>
    <row r="269" spans="1:39" ht="16.2" x14ac:dyDescent="0.35">
      <c r="A269" s="1" t="s">
        <v>26</v>
      </c>
      <c r="B269" s="1">
        <v>4</v>
      </c>
      <c r="C269" s="1" t="s">
        <v>854</v>
      </c>
      <c r="D269" s="1" t="s">
        <v>739</v>
      </c>
      <c r="F269" s="1" t="s">
        <v>2097</v>
      </c>
      <c r="H269" s="1" t="s">
        <v>491</v>
      </c>
      <c r="I269" s="1" t="s">
        <v>1057</v>
      </c>
      <c r="J269" s="1" t="s">
        <v>2098</v>
      </c>
      <c r="O269" s="1" t="s">
        <v>32</v>
      </c>
      <c r="P269" s="1">
        <v>1000</v>
      </c>
      <c r="Q269" s="1" t="s">
        <v>97</v>
      </c>
      <c r="R269" s="1">
        <v>220</v>
      </c>
      <c r="AE269" s="14" t="s">
        <v>2099</v>
      </c>
      <c r="AF269" s="1" t="s">
        <v>2100</v>
      </c>
      <c r="AH269" s="1" t="s">
        <v>2101</v>
      </c>
      <c r="AI269" s="4">
        <v>44820</v>
      </c>
      <c r="AK269" s="2" t="s">
        <v>47</v>
      </c>
      <c r="AM269" s="66" t="str">
        <f t="shared" si="4"/>
        <v/>
      </c>
    </row>
    <row r="270" spans="1:39" ht="57.6" x14ac:dyDescent="0.35">
      <c r="A270" s="1" t="s">
        <v>26</v>
      </c>
      <c r="B270" s="1">
        <v>4</v>
      </c>
      <c r="C270" s="1" t="s">
        <v>2586</v>
      </c>
      <c r="F270" s="1" t="s">
        <v>2102</v>
      </c>
      <c r="H270" s="1" t="s">
        <v>464</v>
      </c>
      <c r="I270" s="1" t="s">
        <v>2103</v>
      </c>
      <c r="J270" s="1" t="s">
        <v>1576</v>
      </c>
      <c r="O270" s="1" t="s">
        <v>234</v>
      </c>
      <c r="P270" s="1">
        <v>240</v>
      </c>
      <c r="Q270" s="1" t="s">
        <v>2104</v>
      </c>
      <c r="R270" s="1">
        <v>220</v>
      </c>
      <c r="V270" s="1" t="s">
        <v>2105</v>
      </c>
      <c r="AA270" s="1" t="s">
        <v>807</v>
      </c>
      <c r="AB270" s="4">
        <v>35796</v>
      </c>
      <c r="AC270" s="1">
        <v>18350</v>
      </c>
      <c r="AE270" s="14" t="s">
        <v>2106</v>
      </c>
      <c r="AF270" s="1" t="s">
        <v>2107</v>
      </c>
      <c r="AM270" s="66" t="str">
        <f t="shared" si="4"/>
        <v/>
      </c>
    </row>
    <row r="271" spans="1:39" ht="57.6" x14ac:dyDescent="0.35">
      <c r="A271" s="1" t="s">
        <v>26</v>
      </c>
      <c r="B271" s="1">
        <v>4</v>
      </c>
      <c r="C271" s="1" t="s">
        <v>2586</v>
      </c>
      <c r="F271" s="1" t="s">
        <v>2108</v>
      </c>
      <c r="H271" s="1" t="s">
        <v>464</v>
      </c>
      <c r="I271" s="1" t="s">
        <v>2109</v>
      </c>
      <c r="J271" s="1" t="s">
        <v>1576</v>
      </c>
      <c r="O271" s="1" t="s">
        <v>234</v>
      </c>
      <c r="P271" s="1">
        <v>240</v>
      </c>
      <c r="Q271" s="1" t="s">
        <v>2104</v>
      </c>
      <c r="R271" s="1">
        <v>220</v>
      </c>
      <c r="V271" s="1" t="s">
        <v>2110</v>
      </c>
      <c r="AA271" s="1" t="s">
        <v>807</v>
      </c>
      <c r="AB271" s="4">
        <v>35796</v>
      </c>
      <c r="AC271" s="1">
        <v>38600</v>
      </c>
      <c r="AE271" s="14" t="s">
        <v>2111</v>
      </c>
      <c r="AF271" s="1" t="s">
        <v>2107</v>
      </c>
      <c r="AM271" s="66" t="str">
        <f t="shared" si="4"/>
        <v/>
      </c>
    </row>
    <row r="272" spans="1:39" ht="16.2" x14ac:dyDescent="0.35">
      <c r="A272" s="1" t="s">
        <v>26</v>
      </c>
      <c r="B272" s="1">
        <v>4</v>
      </c>
      <c r="C272" s="1" t="s">
        <v>854</v>
      </c>
      <c r="F272" s="1" t="s">
        <v>2112</v>
      </c>
      <c r="H272" s="1" t="s">
        <v>29</v>
      </c>
      <c r="I272" s="1" t="s">
        <v>2113</v>
      </c>
      <c r="J272" s="1" t="s">
        <v>857</v>
      </c>
      <c r="O272" s="1" t="s">
        <v>32</v>
      </c>
      <c r="P272" s="1">
        <v>45</v>
      </c>
      <c r="Q272" s="1" t="s">
        <v>867</v>
      </c>
      <c r="R272" s="1">
        <v>220</v>
      </c>
      <c r="AE272" s="14" t="s">
        <v>2114</v>
      </c>
      <c r="AF272" s="1" t="s">
        <v>36</v>
      </c>
      <c r="AH272" s="1" t="s">
        <v>862</v>
      </c>
      <c r="AI272" s="4">
        <v>44820</v>
      </c>
      <c r="AK272" s="2" t="s">
        <v>47</v>
      </c>
      <c r="AM272" s="66" t="str">
        <f t="shared" si="4"/>
        <v/>
      </c>
    </row>
    <row r="273" spans="1:39" ht="28.8" x14ac:dyDescent="0.35">
      <c r="A273" s="1" t="s">
        <v>26</v>
      </c>
      <c r="B273" s="1">
        <v>4</v>
      </c>
      <c r="C273" s="1" t="s">
        <v>854</v>
      </c>
      <c r="F273" s="1" t="s">
        <v>2115</v>
      </c>
      <c r="H273" s="1" t="s">
        <v>36</v>
      </c>
      <c r="I273" s="1" t="s">
        <v>2116</v>
      </c>
      <c r="J273" s="1" t="s">
        <v>857</v>
      </c>
      <c r="O273" s="1" t="s">
        <v>32</v>
      </c>
      <c r="P273" s="1">
        <v>45</v>
      </c>
      <c r="Q273" s="1" t="s">
        <v>867</v>
      </c>
      <c r="R273" s="1">
        <v>220</v>
      </c>
      <c r="AE273" s="14" t="s">
        <v>2073</v>
      </c>
      <c r="AF273" s="1" t="s">
        <v>36</v>
      </c>
      <c r="AH273" s="1" t="s">
        <v>862</v>
      </c>
      <c r="AI273" s="4">
        <v>44820</v>
      </c>
      <c r="AK273" s="2" t="s">
        <v>47</v>
      </c>
      <c r="AM273" s="66" t="str">
        <f t="shared" si="4"/>
        <v/>
      </c>
    </row>
    <row r="274" spans="1:39" ht="57.6" x14ac:dyDescent="0.35">
      <c r="A274" s="1" t="s">
        <v>26</v>
      </c>
      <c r="B274" s="1">
        <v>4</v>
      </c>
      <c r="C274" s="1" t="s">
        <v>2586</v>
      </c>
      <c r="F274" s="1" t="s">
        <v>2117</v>
      </c>
      <c r="H274" s="1" t="s">
        <v>273</v>
      </c>
      <c r="I274" s="1" t="s">
        <v>2118</v>
      </c>
      <c r="J274" s="1" t="s">
        <v>2119</v>
      </c>
      <c r="K274" s="5" t="s">
        <v>1285</v>
      </c>
      <c r="L274" s="74">
        <v>702503.9</v>
      </c>
      <c r="O274" s="1" t="s">
        <v>234</v>
      </c>
      <c r="P274" s="1">
        <v>40</v>
      </c>
      <c r="Q274" s="1" t="s">
        <v>68</v>
      </c>
      <c r="R274" s="1">
        <v>440</v>
      </c>
      <c r="V274" s="1" t="s">
        <v>2120</v>
      </c>
      <c r="AA274" s="1" t="s">
        <v>807</v>
      </c>
      <c r="AB274" s="4">
        <v>42005</v>
      </c>
      <c r="AC274" s="1" t="s">
        <v>2121</v>
      </c>
      <c r="AE274" s="86" t="s">
        <v>2122</v>
      </c>
      <c r="AF274" s="1" t="s">
        <v>2123</v>
      </c>
      <c r="AM274" s="66" t="str">
        <f t="shared" si="4"/>
        <v/>
      </c>
    </row>
    <row r="275" spans="1:39" ht="16.2" x14ac:dyDescent="0.35">
      <c r="A275" s="1" t="s">
        <v>26</v>
      </c>
      <c r="B275" s="1">
        <v>4</v>
      </c>
      <c r="C275" s="1" t="s">
        <v>854</v>
      </c>
      <c r="F275" s="1" t="s">
        <v>2124</v>
      </c>
      <c r="H275" s="1" t="s">
        <v>40</v>
      </c>
      <c r="I275" s="1" t="s">
        <v>2125</v>
      </c>
      <c r="J275" s="1" t="s">
        <v>2126</v>
      </c>
      <c r="O275" s="1" t="s">
        <v>32</v>
      </c>
      <c r="P275" s="1">
        <v>18</v>
      </c>
      <c r="Q275" s="1" t="s">
        <v>867</v>
      </c>
      <c r="R275" s="1">
        <v>220</v>
      </c>
      <c r="V275" s="1" t="s">
        <v>2127</v>
      </c>
      <c r="AE275" s="14" t="s">
        <v>2128</v>
      </c>
      <c r="AF275" s="1" t="s">
        <v>53</v>
      </c>
      <c r="AH275" s="1" t="s">
        <v>862</v>
      </c>
      <c r="AI275" s="4">
        <v>44820</v>
      </c>
      <c r="AK275" s="2" t="s">
        <v>38</v>
      </c>
      <c r="AM275" s="66" t="str">
        <f t="shared" si="4"/>
        <v/>
      </c>
    </row>
    <row r="276" spans="1:39" ht="57.6" x14ac:dyDescent="0.35">
      <c r="A276" s="1" t="s">
        <v>26</v>
      </c>
      <c r="B276" s="1">
        <v>4</v>
      </c>
      <c r="C276" s="1" t="s">
        <v>2586</v>
      </c>
      <c r="F276" s="1" t="s">
        <v>2129</v>
      </c>
      <c r="H276" s="1" t="s">
        <v>2130</v>
      </c>
      <c r="I276" s="1" t="s">
        <v>2131</v>
      </c>
      <c r="J276" s="1" t="s">
        <v>2132</v>
      </c>
      <c r="O276" s="1" t="s">
        <v>234</v>
      </c>
      <c r="P276" s="1">
        <v>15</v>
      </c>
      <c r="Q276" s="1" t="s">
        <v>33</v>
      </c>
      <c r="R276" s="1">
        <v>220</v>
      </c>
      <c r="V276" s="1" t="s">
        <v>2133</v>
      </c>
      <c r="AA276" s="1" t="s">
        <v>2134</v>
      </c>
      <c r="AF276" s="1" t="s">
        <v>2135</v>
      </c>
      <c r="AM276" s="66" t="str">
        <f t="shared" si="4"/>
        <v/>
      </c>
    </row>
    <row r="277" spans="1:39" ht="16.2" x14ac:dyDescent="0.35">
      <c r="A277" s="1" t="s">
        <v>26</v>
      </c>
      <c r="B277" s="1">
        <v>4</v>
      </c>
      <c r="C277" s="1" t="s">
        <v>2136</v>
      </c>
      <c r="F277" s="1" t="s">
        <v>2137</v>
      </c>
      <c r="G277" s="1" t="s">
        <v>2138</v>
      </c>
      <c r="H277" s="1" t="s">
        <v>697</v>
      </c>
      <c r="I277" s="1" t="s">
        <v>1134</v>
      </c>
      <c r="J277" s="1" t="s">
        <v>2139</v>
      </c>
      <c r="O277" s="1" t="s">
        <v>360</v>
      </c>
      <c r="P277" s="1">
        <v>15</v>
      </c>
      <c r="Q277" s="1" t="s">
        <v>43</v>
      </c>
      <c r="S277" s="1">
        <v>220</v>
      </c>
      <c r="T277" s="1" t="s">
        <v>1085</v>
      </c>
      <c r="V277" s="1" t="s">
        <v>2140</v>
      </c>
      <c r="AA277" s="1" t="s">
        <v>1212</v>
      </c>
      <c r="AB277" s="4">
        <v>44562</v>
      </c>
      <c r="AE277" s="14" t="s">
        <v>2141</v>
      </c>
      <c r="AF277" s="1" t="s">
        <v>2142</v>
      </c>
      <c r="AH277" s="1" t="s">
        <v>75</v>
      </c>
      <c r="AI277" s="4">
        <v>44967</v>
      </c>
      <c r="AM277" s="66" t="str">
        <f t="shared" si="4"/>
        <v/>
      </c>
    </row>
    <row r="278" spans="1:39" ht="57.6" x14ac:dyDescent="0.35">
      <c r="A278" s="1" t="s">
        <v>26</v>
      </c>
      <c r="B278" s="1">
        <v>4</v>
      </c>
      <c r="C278" s="1" t="s">
        <v>2586</v>
      </c>
      <c r="F278" s="1" t="s">
        <v>2143</v>
      </c>
      <c r="H278" s="1" t="s">
        <v>464</v>
      </c>
      <c r="I278" s="1" t="s">
        <v>2144</v>
      </c>
      <c r="J278" s="83" t="s">
        <v>2145</v>
      </c>
      <c r="O278" s="1" t="s">
        <v>234</v>
      </c>
      <c r="P278" s="1">
        <v>10</v>
      </c>
      <c r="Q278" s="1" t="s">
        <v>33</v>
      </c>
      <c r="R278" s="1">
        <v>440</v>
      </c>
      <c r="V278" s="1" t="s">
        <v>2146</v>
      </c>
      <c r="AA278" s="1" t="s">
        <v>807</v>
      </c>
      <c r="AB278" s="4">
        <v>41275</v>
      </c>
      <c r="AC278" s="1" t="s">
        <v>2147</v>
      </c>
      <c r="AD278" s="1" t="s">
        <v>72</v>
      </c>
      <c r="AE278" s="14" t="s">
        <v>2148</v>
      </c>
      <c r="AF278" s="1" t="s">
        <v>2149</v>
      </c>
      <c r="AM278" s="66" t="str">
        <f t="shared" si="4"/>
        <v/>
      </c>
    </row>
    <row r="279" spans="1:39" ht="16.2" x14ac:dyDescent="0.35">
      <c r="A279" s="1" t="s">
        <v>26</v>
      </c>
      <c r="B279" s="1">
        <v>4</v>
      </c>
      <c r="C279" s="1" t="s">
        <v>854</v>
      </c>
      <c r="D279" s="1" t="s">
        <v>739</v>
      </c>
      <c r="F279" s="1" t="s">
        <v>2150</v>
      </c>
      <c r="H279" s="1" t="s">
        <v>40</v>
      </c>
      <c r="I279" s="1" t="s">
        <v>2151</v>
      </c>
      <c r="J279" s="1" t="s">
        <v>2126</v>
      </c>
      <c r="O279" s="1" t="s">
        <v>866</v>
      </c>
      <c r="P279" s="1">
        <v>6.5</v>
      </c>
      <c r="Q279" s="1" t="s">
        <v>43</v>
      </c>
      <c r="R279" s="1">
        <v>220</v>
      </c>
      <c r="V279" s="1" t="s">
        <v>2152</v>
      </c>
      <c r="AE279" s="14" t="s">
        <v>2153</v>
      </c>
      <c r="AF279" s="1" t="s">
        <v>2154</v>
      </c>
      <c r="AH279" s="1" t="s">
        <v>862</v>
      </c>
      <c r="AI279" s="4">
        <v>44820</v>
      </c>
      <c r="AK279" s="2" t="s">
        <v>38</v>
      </c>
      <c r="AM279" s="66" t="str">
        <f t="shared" si="4"/>
        <v/>
      </c>
    </row>
    <row r="280" spans="1:39" ht="16.2" x14ac:dyDescent="0.35">
      <c r="A280" s="1" t="s">
        <v>26</v>
      </c>
      <c r="B280" s="1">
        <v>4</v>
      </c>
      <c r="C280" s="1" t="s">
        <v>854</v>
      </c>
      <c r="D280" s="1" t="s">
        <v>739</v>
      </c>
      <c r="F280" s="1" t="s">
        <v>2155</v>
      </c>
      <c r="H280" s="1" t="s">
        <v>40</v>
      </c>
      <c r="I280" s="1" t="s">
        <v>2156</v>
      </c>
      <c r="J280" s="1" t="s">
        <v>1553</v>
      </c>
      <c r="O280" s="1" t="s">
        <v>2157</v>
      </c>
      <c r="P280" s="1">
        <v>5</v>
      </c>
      <c r="Q280" s="1" t="s">
        <v>43</v>
      </c>
      <c r="R280" s="1">
        <v>220</v>
      </c>
      <c r="V280" s="1" t="s">
        <v>2158</v>
      </c>
      <c r="AE280" s="14" t="s">
        <v>2159</v>
      </c>
      <c r="AF280" s="1" t="s">
        <v>2160</v>
      </c>
      <c r="AH280" s="1" t="s">
        <v>862</v>
      </c>
      <c r="AI280" s="4">
        <v>44820</v>
      </c>
      <c r="AK280" s="2" t="s">
        <v>38</v>
      </c>
      <c r="AM280" s="66" t="str">
        <f t="shared" si="4"/>
        <v/>
      </c>
    </row>
    <row r="281" spans="1:39" ht="43.2" x14ac:dyDescent="0.35">
      <c r="A281" s="1" t="s">
        <v>26</v>
      </c>
      <c r="B281" s="1">
        <v>4</v>
      </c>
      <c r="C281" s="1" t="s">
        <v>854</v>
      </c>
      <c r="D281" s="1" t="s">
        <v>739</v>
      </c>
      <c r="F281" s="1" t="s">
        <v>2161</v>
      </c>
      <c r="H281" s="1" t="s">
        <v>40</v>
      </c>
      <c r="I281" s="1" t="s">
        <v>2162</v>
      </c>
      <c r="J281" s="1" t="s">
        <v>2163</v>
      </c>
      <c r="O281" s="1" t="s">
        <v>866</v>
      </c>
      <c r="P281" s="1">
        <v>5</v>
      </c>
      <c r="Q281" s="1" t="s">
        <v>43</v>
      </c>
      <c r="R281" s="1">
        <v>220</v>
      </c>
      <c r="V281" s="1" t="s">
        <v>2164</v>
      </c>
      <c r="AE281" s="14" t="s">
        <v>2165</v>
      </c>
      <c r="AF281" s="1" t="s">
        <v>53</v>
      </c>
      <c r="AH281" s="1" t="s">
        <v>870</v>
      </c>
      <c r="AI281" s="4">
        <v>44820</v>
      </c>
      <c r="AK281" s="2" t="s">
        <v>38</v>
      </c>
      <c r="AM281" s="66" t="str">
        <f t="shared" si="4"/>
        <v/>
      </c>
    </row>
    <row r="282" spans="1:39" ht="57.6" x14ac:dyDescent="0.35">
      <c r="A282" s="1" t="s">
        <v>26</v>
      </c>
      <c r="B282" s="1">
        <v>4</v>
      </c>
      <c r="C282" s="1" t="s">
        <v>2586</v>
      </c>
      <c r="F282" s="1" t="s">
        <v>2166</v>
      </c>
      <c r="H282" s="1" t="s">
        <v>2130</v>
      </c>
      <c r="I282" s="1" t="s">
        <v>2167</v>
      </c>
      <c r="J282" s="1" t="s">
        <v>2168</v>
      </c>
      <c r="K282" s="5" t="s">
        <v>1285</v>
      </c>
      <c r="L282" s="75">
        <v>290000</v>
      </c>
      <c r="O282" s="1" t="s">
        <v>234</v>
      </c>
      <c r="P282" s="1">
        <v>3.8</v>
      </c>
      <c r="Q282" s="1" t="s">
        <v>33</v>
      </c>
      <c r="R282" s="1">
        <v>220</v>
      </c>
      <c r="AA282" s="1" t="s">
        <v>807</v>
      </c>
      <c r="AB282" s="4">
        <v>41275</v>
      </c>
      <c r="AC282" s="1" t="s">
        <v>2121</v>
      </c>
      <c r="AD282" s="1" t="s">
        <v>72</v>
      </c>
      <c r="AE282" s="14" t="s">
        <v>2169</v>
      </c>
      <c r="AF282" s="1" t="s">
        <v>2170</v>
      </c>
      <c r="AM282" s="66" t="str">
        <f t="shared" si="4"/>
        <v/>
      </c>
    </row>
    <row r="283" spans="1:39" ht="16.2" x14ac:dyDescent="0.35">
      <c r="A283" s="1" t="s">
        <v>26</v>
      </c>
      <c r="B283" s="1">
        <v>4</v>
      </c>
      <c r="C283" s="1" t="s">
        <v>854</v>
      </c>
      <c r="D283" s="1" t="s">
        <v>739</v>
      </c>
      <c r="F283" s="1" t="s">
        <v>2171</v>
      </c>
      <c r="H283" s="1" t="s">
        <v>40</v>
      </c>
      <c r="I283" s="1" t="s">
        <v>2172</v>
      </c>
      <c r="J283" s="1" t="s">
        <v>2173</v>
      </c>
      <c r="O283" s="1" t="s">
        <v>2174</v>
      </c>
      <c r="P283" s="1">
        <v>3</v>
      </c>
      <c r="Q283" s="1" t="s">
        <v>235</v>
      </c>
      <c r="R283" s="1">
        <v>220</v>
      </c>
      <c r="V283" s="1" t="s">
        <v>2175</v>
      </c>
      <c r="AE283" s="14" t="s">
        <v>2176</v>
      </c>
      <c r="AF283" s="1" t="s">
        <v>2154</v>
      </c>
      <c r="AH283" s="1" t="s">
        <v>2177</v>
      </c>
      <c r="AI283" s="4">
        <v>44820</v>
      </c>
      <c r="AK283" s="2" t="s">
        <v>38</v>
      </c>
      <c r="AM283" s="66" t="str">
        <f t="shared" si="4"/>
        <v/>
      </c>
    </row>
    <row r="284" spans="1:39" ht="16.2" x14ac:dyDescent="0.35">
      <c r="A284" s="1" t="s">
        <v>26</v>
      </c>
      <c r="B284" s="1">
        <v>4</v>
      </c>
      <c r="C284" s="1" t="s">
        <v>854</v>
      </c>
      <c r="D284" s="1" t="s">
        <v>739</v>
      </c>
      <c r="F284" s="1" t="s">
        <v>2178</v>
      </c>
      <c r="H284" s="1" t="s">
        <v>40</v>
      </c>
      <c r="I284" s="1" t="s">
        <v>2179</v>
      </c>
      <c r="J284" s="1" t="s">
        <v>2180</v>
      </c>
      <c r="O284" s="1" t="s">
        <v>32</v>
      </c>
      <c r="P284" s="1">
        <v>3</v>
      </c>
      <c r="Q284" s="1" t="s">
        <v>663</v>
      </c>
      <c r="R284" s="1">
        <v>220</v>
      </c>
      <c r="AA284" s="1" t="s">
        <v>2181</v>
      </c>
      <c r="AE284" s="14" t="s">
        <v>2182</v>
      </c>
      <c r="AF284" s="1" t="s">
        <v>53</v>
      </c>
      <c r="AH284" s="1" t="s">
        <v>862</v>
      </c>
      <c r="AI284" s="4">
        <v>44820</v>
      </c>
      <c r="AK284" s="2" t="s">
        <v>47</v>
      </c>
      <c r="AM284" s="66" t="str">
        <f t="shared" si="4"/>
        <v/>
      </c>
    </row>
    <row r="285" spans="1:39" ht="16.2" x14ac:dyDescent="0.35">
      <c r="A285" s="1" t="s">
        <v>26</v>
      </c>
      <c r="B285" s="1">
        <v>4</v>
      </c>
      <c r="C285" s="1" t="s">
        <v>854</v>
      </c>
      <c r="D285" s="1" t="s">
        <v>739</v>
      </c>
      <c r="F285" s="1" t="s">
        <v>2183</v>
      </c>
      <c r="H285" s="1" t="s">
        <v>750</v>
      </c>
      <c r="I285" s="1" t="s">
        <v>2184</v>
      </c>
      <c r="J285" s="1" t="s">
        <v>2185</v>
      </c>
      <c r="O285" s="1" t="s">
        <v>32</v>
      </c>
      <c r="P285" s="1">
        <v>2.2000000000000002</v>
      </c>
      <c r="Q285" s="1" t="s">
        <v>43</v>
      </c>
      <c r="R285" s="1">
        <v>220</v>
      </c>
      <c r="V285" s="1" t="s">
        <v>2186</v>
      </c>
      <c r="AA285" s="1" t="s">
        <v>1975</v>
      </c>
      <c r="AE285" s="14" t="s">
        <v>2187</v>
      </c>
      <c r="AF285" s="1" t="s">
        <v>61</v>
      </c>
      <c r="AH285" s="1" t="s">
        <v>862</v>
      </c>
      <c r="AI285" s="4">
        <v>44820</v>
      </c>
      <c r="AK285" s="2" t="s">
        <v>38</v>
      </c>
      <c r="AM285" s="66" t="str">
        <f t="shared" si="4"/>
        <v/>
      </c>
    </row>
    <row r="286" spans="1:39" ht="57.6" x14ac:dyDescent="0.35">
      <c r="A286" s="1" t="s">
        <v>26</v>
      </c>
      <c r="B286" s="1">
        <v>4</v>
      </c>
      <c r="C286" s="1" t="s">
        <v>2586</v>
      </c>
      <c r="F286" s="1" t="s">
        <v>2188</v>
      </c>
      <c r="H286" s="1" t="s">
        <v>2189</v>
      </c>
      <c r="I286" s="1" t="s">
        <v>2190</v>
      </c>
      <c r="J286" s="1" t="s">
        <v>2191</v>
      </c>
      <c r="O286" s="1" t="s">
        <v>234</v>
      </c>
      <c r="P286" s="1">
        <v>2</v>
      </c>
      <c r="Q286" s="1" t="s">
        <v>33</v>
      </c>
      <c r="R286" s="1">
        <v>380</v>
      </c>
      <c r="V286" s="1" t="s">
        <v>2192</v>
      </c>
      <c r="AA286" s="1" t="s">
        <v>2193</v>
      </c>
      <c r="AB286" s="4">
        <v>42005</v>
      </c>
      <c r="AC286" s="1" t="s">
        <v>2194</v>
      </c>
      <c r="AE286" s="14" t="s">
        <v>2195</v>
      </c>
      <c r="AF286" s="1" t="s">
        <v>2196</v>
      </c>
      <c r="AM286" s="66" t="str">
        <f t="shared" si="4"/>
        <v/>
      </c>
    </row>
    <row r="287" spans="1:39" ht="16.2" x14ac:dyDescent="0.35">
      <c r="A287" s="1" t="s">
        <v>26</v>
      </c>
      <c r="B287" s="1">
        <v>4</v>
      </c>
      <c r="C287" s="1" t="s">
        <v>854</v>
      </c>
      <c r="D287" s="1" t="s">
        <v>739</v>
      </c>
      <c r="F287" s="1" t="s">
        <v>2197</v>
      </c>
      <c r="H287" s="1" t="s">
        <v>750</v>
      </c>
      <c r="I287" s="1" t="s">
        <v>853</v>
      </c>
      <c r="J287" s="1" t="s">
        <v>2198</v>
      </c>
      <c r="O287" s="1" t="s">
        <v>2199</v>
      </c>
      <c r="P287" s="1">
        <v>2</v>
      </c>
      <c r="Q287" s="1" t="s">
        <v>235</v>
      </c>
      <c r="R287" s="1">
        <v>220</v>
      </c>
      <c r="V287" s="1" t="s">
        <v>2200</v>
      </c>
      <c r="AE287" s="14" t="s">
        <v>2201</v>
      </c>
      <c r="AF287" s="1" t="s">
        <v>2202</v>
      </c>
      <c r="AH287" s="1" t="s">
        <v>862</v>
      </c>
      <c r="AI287" s="4">
        <v>44820</v>
      </c>
      <c r="AK287" s="2" t="s">
        <v>38</v>
      </c>
      <c r="AM287" s="66" t="str">
        <f t="shared" si="4"/>
        <v/>
      </c>
    </row>
    <row r="288" spans="1:39" ht="16.2" x14ac:dyDescent="0.35">
      <c r="A288" s="1" t="s">
        <v>26</v>
      </c>
      <c r="B288" s="1">
        <v>4</v>
      </c>
      <c r="C288" s="1" t="s">
        <v>854</v>
      </c>
      <c r="D288" s="1" t="s">
        <v>739</v>
      </c>
      <c r="F288" s="1" t="s">
        <v>2203</v>
      </c>
      <c r="H288" s="1" t="s">
        <v>750</v>
      </c>
      <c r="I288" s="1" t="s">
        <v>2204</v>
      </c>
      <c r="J288" s="1" t="s">
        <v>2198</v>
      </c>
      <c r="O288" s="1" t="s">
        <v>2199</v>
      </c>
      <c r="P288" s="1">
        <v>2</v>
      </c>
      <c r="Q288" s="1" t="s">
        <v>235</v>
      </c>
      <c r="R288" s="1">
        <v>220</v>
      </c>
      <c r="V288" s="1" t="s">
        <v>2205</v>
      </c>
      <c r="AE288" s="14" t="s">
        <v>2206</v>
      </c>
      <c r="AF288" s="1" t="s">
        <v>2202</v>
      </c>
      <c r="AH288" s="1" t="s">
        <v>862</v>
      </c>
      <c r="AI288" s="4">
        <v>44820</v>
      </c>
      <c r="AK288" s="2" t="s">
        <v>38</v>
      </c>
      <c r="AM288" s="66" t="str">
        <f t="shared" si="4"/>
        <v/>
      </c>
    </row>
    <row r="289" spans="1:39" ht="16.2" x14ac:dyDescent="0.35">
      <c r="A289" s="1" t="s">
        <v>26</v>
      </c>
      <c r="B289" s="1">
        <v>4</v>
      </c>
      <c r="C289" s="1" t="s">
        <v>854</v>
      </c>
      <c r="D289" s="1" t="s">
        <v>739</v>
      </c>
      <c r="F289" s="1" t="s">
        <v>2207</v>
      </c>
      <c r="H289" s="1" t="s">
        <v>40</v>
      </c>
      <c r="I289" s="1" t="s">
        <v>2208</v>
      </c>
      <c r="J289" s="1" t="s">
        <v>2209</v>
      </c>
      <c r="O289" s="1" t="s">
        <v>2199</v>
      </c>
      <c r="P289" s="1">
        <v>1.5</v>
      </c>
      <c r="Q289" s="1" t="s">
        <v>43</v>
      </c>
      <c r="R289" s="1">
        <v>220</v>
      </c>
      <c r="AE289" s="14" t="s">
        <v>2210</v>
      </c>
      <c r="AF289" s="1" t="s">
        <v>45</v>
      </c>
      <c r="AH289" s="1" t="s">
        <v>862</v>
      </c>
      <c r="AI289" s="4">
        <v>44820</v>
      </c>
      <c r="AK289" s="2" t="s">
        <v>38</v>
      </c>
      <c r="AM289" s="66" t="str">
        <f t="shared" si="4"/>
        <v/>
      </c>
    </row>
    <row r="290" spans="1:39" ht="16.2" x14ac:dyDescent="0.35">
      <c r="A290" s="1" t="s">
        <v>26</v>
      </c>
      <c r="B290" s="1">
        <v>4</v>
      </c>
      <c r="C290" s="1" t="s">
        <v>854</v>
      </c>
      <c r="D290" s="1" t="s">
        <v>739</v>
      </c>
      <c r="F290" s="1" t="s">
        <v>2211</v>
      </c>
      <c r="H290" s="1" t="s">
        <v>40</v>
      </c>
      <c r="I290" s="1" t="s">
        <v>2212</v>
      </c>
      <c r="J290" s="1" t="s">
        <v>2213</v>
      </c>
      <c r="O290" s="1" t="s">
        <v>32</v>
      </c>
      <c r="P290" s="1">
        <v>1</v>
      </c>
      <c r="Q290" s="1" t="s">
        <v>43</v>
      </c>
      <c r="R290" s="1">
        <v>220</v>
      </c>
      <c r="V290" s="1" t="s">
        <v>2214</v>
      </c>
      <c r="AE290" s="14" t="s">
        <v>2215</v>
      </c>
      <c r="AF290" s="1" t="s">
        <v>2216</v>
      </c>
      <c r="AH290" s="1" t="s">
        <v>862</v>
      </c>
      <c r="AI290" s="4">
        <v>44820</v>
      </c>
      <c r="AK290" s="2" t="s">
        <v>47</v>
      </c>
      <c r="AM290" s="66" t="str">
        <f t="shared" si="4"/>
        <v/>
      </c>
    </row>
    <row r="291" spans="1:39" ht="16.2" x14ac:dyDescent="0.35">
      <c r="A291" s="1" t="s">
        <v>26</v>
      </c>
      <c r="B291" s="1">
        <v>4</v>
      </c>
      <c r="C291" s="1" t="s">
        <v>854</v>
      </c>
      <c r="D291" s="1" t="s">
        <v>739</v>
      </c>
      <c r="F291" s="1" t="s">
        <v>2217</v>
      </c>
      <c r="H291" s="1" t="s">
        <v>1937</v>
      </c>
      <c r="I291" s="1" t="s">
        <v>2218</v>
      </c>
      <c r="J291" s="1" t="s">
        <v>2219</v>
      </c>
      <c r="O291" s="1" t="s">
        <v>2199</v>
      </c>
      <c r="P291" s="1">
        <v>1</v>
      </c>
      <c r="Q291" s="1" t="s">
        <v>235</v>
      </c>
      <c r="R291" s="1">
        <v>220</v>
      </c>
      <c r="AE291" s="14" t="s">
        <v>2220</v>
      </c>
      <c r="AF291" s="1" t="s">
        <v>1484</v>
      </c>
      <c r="AH291" s="1" t="s">
        <v>2101</v>
      </c>
      <c r="AI291" s="4">
        <v>44820</v>
      </c>
      <c r="AK291" s="2" t="s">
        <v>2221</v>
      </c>
      <c r="AM291" s="66" t="str">
        <f t="shared" si="4"/>
        <v/>
      </c>
    </row>
    <row r="292" spans="1:39" ht="16.2" x14ac:dyDescent="0.35">
      <c r="A292" s="1" t="s">
        <v>26</v>
      </c>
      <c r="B292" s="1">
        <v>4</v>
      </c>
      <c r="C292" s="1" t="s">
        <v>854</v>
      </c>
      <c r="D292" s="1" t="s">
        <v>739</v>
      </c>
      <c r="F292" s="1" t="s">
        <v>2222</v>
      </c>
      <c r="H292" s="1" t="s">
        <v>40</v>
      </c>
      <c r="I292" s="1" t="s">
        <v>2223</v>
      </c>
      <c r="J292" s="1" t="s">
        <v>2224</v>
      </c>
      <c r="O292" s="1" t="s">
        <v>2199</v>
      </c>
      <c r="P292" s="1">
        <v>0.5</v>
      </c>
      <c r="Q292" s="1" t="s">
        <v>43</v>
      </c>
      <c r="R292" s="1">
        <v>220</v>
      </c>
      <c r="AE292" s="14" t="s">
        <v>2225</v>
      </c>
      <c r="AF292" s="1" t="s">
        <v>45</v>
      </c>
      <c r="AH292" s="1" t="s">
        <v>862</v>
      </c>
      <c r="AI292" s="4">
        <v>44820</v>
      </c>
      <c r="AK292" s="2" t="s">
        <v>47</v>
      </c>
      <c r="AM292" s="66" t="str">
        <f t="shared" si="4"/>
        <v/>
      </c>
    </row>
    <row r="293" spans="1:39" ht="28.8" x14ac:dyDescent="0.35">
      <c r="A293" s="1" t="s">
        <v>26</v>
      </c>
      <c r="B293" s="1">
        <v>4</v>
      </c>
      <c r="C293" s="1" t="s">
        <v>832</v>
      </c>
      <c r="D293" s="1" t="s">
        <v>785</v>
      </c>
      <c r="F293" s="1" t="s">
        <v>1059</v>
      </c>
      <c r="H293" s="1" t="s">
        <v>1059</v>
      </c>
      <c r="I293" s="1" t="s">
        <v>2226</v>
      </c>
      <c r="J293" s="1" t="s">
        <v>1061</v>
      </c>
      <c r="O293" s="1" t="s">
        <v>234</v>
      </c>
      <c r="R293" s="1">
        <v>220</v>
      </c>
      <c r="V293" s="1" t="s">
        <v>2227</v>
      </c>
      <c r="AE293" s="14" t="s">
        <v>2228</v>
      </c>
      <c r="AF293" s="1" t="s">
        <v>1064</v>
      </c>
      <c r="AM293" s="66" t="str">
        <f t="shared" si="4"/>
        <v/>
      </c>
    </row>
    <row r="294" spans="1:39" ht="115.2" x14ac:dyDescent="0.35">
      <c r="A294" s="1" t="s">
        <v>26</v>
      </c>
      <c r="B294" s="1">
        <v>4</v>
      </c>
      <c r="C294" s="1" t="s">
        <v>832</v>
      </c>
      <c r="D294" s="1" t="s">
        <v>785</v>
      </c>
      <c r="F294" s="1" t="s">
        <v>2229</v>
      </c>
      <c r="H294" s="1" t="s">
        <v>1295</v>
      </c>
      <c r="I294" s="1" t="s">
        <v>2230</v>
      </c>
      <c r="J294" s="1" t="s">
        <v>2231</v>
      </c>
      <c r="O294" s="1" t="s">
        <v>360</v>
      </c>
      <c r="AE294" s="14" t="s">
        <v>2232</v>
      </c>
      <c r="AF294" s="1" t="s">
        <v>1073</v>
      </c>
      <c r="AH294" s="1" t="s">
        <v>362</v>
      </c>
      <c r="AI294" s="4">
        <v>44838</v>
      </c>
      <c r="AK294" s="2" t="s">
        <v>2233</v>
      </c>
      <c r="AM294" s="66" t="str">
        <f t="shared" si="4"/>
        <v/>
      </c>
    </row>
    <row r="295" spans="1:39" ht="28.8" x14ac:dyDescent="0.35">
      <c r="A295" s="1" t="s">
        <v>26</v>
      </c>
      <c r="B295" s="1">
        <v>4</v>
      </c>
      <c r="C295" s="1" t="s">
        <v>832</v>
      </c>
      <c r="D295" s="1" t="s">
        <v>785</v>
      </c>
      <c r="F295" s="5" t="s">
        <v>2234</v>
      </c>
      <c r="H295" s="1" t="s">
        <v>1713</v>
      </c>
      <c r="I295" s="1" t="s">
        <v>2235</v>
      </c>
      <c r="J295" s="1" t="s">
        <v>2590</v>
      </c>
      <c r="N295" s="1">
        <v>1</v>
      </c>
      <c r="O295" s="1" t="s">
        <v>234</v>
      </c>
      <c r="R295" s="1">
        <v>220</v>
      </c>
      <c r="AD295" s="1" t="s">
        <v>191</v>
      </c>
      <c r="AE295" s="14" t="s">
        <v>2236</v>
      </c>
      <c r="AH295" s="1" t="s">
        <v>75</v>
      </c>
      <c r="AI295" s="4">
        <v>44833</v>
      </c>
      <c r="AM295" s="66" t="str">
        <f t="shared" si="4"/>
        <v/>
      </c>
    </row>
    <row r="296" spans="1:39" ht="16.2" x14ac:dyDescent="0.35">
      <c r="A296" s="1" t="s">
        <v>26</v>
      </c>
      <c r="B296" s="1">
        <v>4</v>
      </c>
      <c r="C296" s="1" t="s">
        <v>854</v>
      </c>
      <c r="D296" s="1" t="s">
        <v>739</v>
      </c>
      <c r="F296" s="1" t="s">
        <v>2237</v>
      </c>
      <c r="H296" s="1" t="s">
        <v>40</v>
      </c>
      <c r="I296" s="1" t="s">
        <v>1038</v>
      </c>
      <c r="J296" s="1" t="s">
        <v>2238</v>
      </c>
      <c r="O296" s="1" t="s">
        <v>32</v>
      </c>
      <c r="R296" s="1">
        <v>220</v>
      </c>
      <c r="AA296" s="1" t="s">
        <v>860</v>
      </c>
      <c r="AE296" s="14" t="s">
        <v>2239</v>
      </c>
      <c r="AF296" s="1" t="s">
        <v>2216</v>
      </c>
      <c r="AH296" s="1" t="s">
        <v>862</v>
      </c>
      <c r="AI296" s="4">
        <v>44820</v>
      </c>
      <c r="AK296" s="2" t="s">
        <v>47</v>
      </c>
      <c r="AM296" s="66" t="str">
        <f t="shared" si="4"/>
        <v/>
      </c>
    </row>
    <row r="297" spans="1:39" ht="16.2" x14ac:dyDescent="0.35">
      <c r="A297" s="1" t="s">
        <v>26</v>
      </c>
      <c r="B297" s="1">
        <v>4</v>
      </c>
      <c r="C297" s="1" t="s">
        <v>854</v>
      </c>
      <c r="D297" s="1" t="s">
        <v>739</v>
      </c>
      <c r="F297" s="1" t="s">
        <v>2240</v>
      </c>
      <c r="H297" s="1" t="s">
        <v>40</v>
      </c>
      <c r="I297" s="1" t="s">
        <v>2241</v>
      </c>
      <c r="J297" s="1" t="s">
        <v>2590</v>
      </c>
      <c r="O297" s="1" t="s">
        <v>32</v>
      </c>
      <c r="P297" s="35"/>
      <c r="Q297" s="1" t="s">
        <v>235</v>
      </c>
      <c r="R297" s="1">
        <v>110</v>
      </c>
      <c r="AE297" s="14" t="s">
        <v>2242</v>
      </c>
      <c r="AH297" s="1" t="s">
        <v>862</v>
      </c>
      <c r="AI297" s="4">
        <v>44820</v>
      </c>
      <c r="AK297" s="2" t="s">
        <v>47</v>
      </c>
      <c r="AM297" s="66" t="str">
        <f t="shared" si="4"/>
        <v/>
      </c>
    </row>
    <row r="298" spans="1:39" ht="16.2" x14ac:dyDescent="0.35">
      <c r="A298" s="1" t="s">
        <v>26</v>
      </c>
      <c r="B298" s="1">
        <v>4</v>
      </c>
      <c r="C298" s="1" t="s">
        <v>854</v>
      </c>
      <c r="D298" s="1" t="s">
        <v>739</v>
      </c>
      <c r="F298" s="1" t="s">
        <v>2243</v>
      </c>
      <c r="H298" s="1" t="s">
        <v>40</v>
      </c>
      <c r="I298" s="1" t="s">
        <v>2244</v>
      </c>
      <c r="J298" s="1" t="s">
        <v>2245</v>
      </c>
      <c r="O298" s="1" t="s">
        <v>32</v>
      </c>
      <c r="Q298" s="1" t="s">
        <v>235</v>
      </c>
      <c r="R298" s="1">
        <v>220</v>
      </c>
      <c r="AE298" s="14" t="s">
        <v>2246</v>
      </c>
      <c r="AF298" s="1" t="s">
        <v>2247</v>
      </c>
      <c r="AH298" s="1" t="s">
        <v>2248</v>
      </c>
      <c r="AI298" s="4">
        <v>44820</v>
      </c>
      <c r="AK298" s="2" t="s">
        <v>2249</v>
      </c>
      <c r="AM298" s="66" t="str">
        <f t="shared" si="4"/>
        <v/>
      </c>
    </row>
    <row r="299" spans="1:39" ht="16.2" x14ac:dyDescent="0.35">
      <c r="A299" s="1" t="s">
        <v>26</v>
      </c>
      <c r="B299" s="1">
        <v>4</v>
      </c>
      <c r="C299" s="1" t="s">
        <v>854</v>
      </c>
      <c r="D299" s="1" t="s">
        <v>739</v>
      </c>
      <c r="F299" s="1" t="s">
        <v>2250</v>
      </c>
      <c r="H299" s="1" t="s">
        <v>273</v>
      </c>
      <c r="I299" s="1" t="s">
        <v>2251</v>
      </c>
      <c r="J299" s="1" t="s">
        <v>2252</v>
      </c>
      <c r="O299" s="1" t="s">
        <v>2199</v>
      </c>
      <c r="AE299" s="14" t="s">
        <v>2253</v>
      </c>
      <c r="AF299" s="1" t="s">
        <v>2254</v>
      </c>
      <c r="AH299" s="1" t="s">
        <v>2255</v>
      </c>
      <c r="AI299" s="4">
        <v>44820</v>
      </c>
      <c r="AM299" s="66" t="str">
        <f t="shared" si="4"/>
        <v/>
      </c>
    </row>
    <row r="300" spans="1:39" ht="16.2" x14ac:dyDescent="0.35">
      <c r="A300" s="1" t="s">
        <v>26</v>
      </c>
      <c r="B300" s="1">
        <v>4</v>
      </c>
      <c r="C300" s="1" t="s">
        <v>854</v>
      </c>
      <c r="D300" s="1" t="s">
        <v>739</v>
      </c>
      <c r="F300" s="1" t="s">
        <v>2256</v>
      </c>
      <c r="H300" s="1" t="s">
        <v>40</v>
      </c>
      <c r="I300" s="1" t="s">
        <v>2257</v>
      </c>
      <c r="J300" s="1" t="s">
        <v>2590</v>
      </c>
      <c r="O300" s="1" t="s">
        <v>32</v>
      </c>
      <c r="AE300" s="14" t="s">
        <v>2258</v>
      </c>
      <c r="AF300" s="1" t="s">
        <v>2259</v>
      </c>
      <c r="AH300" s="1" t="s">
        <v>862</v>
      </c>
      <c r="AI300" s="4">
        <v>44820</v>
      </c>
      <c r="AK300" s="2" t="s">
        <v>47</v>
      </c>
      <c r="AM300" s="66" t="str">
        <f t="shared" si="4"/>
        <v/>
      </c>
    </row>
    <row r="301" spans="1:39" ht="16.2" x14ac:dyDescent="0.35">
      <c r="A301" s="1" t="s">
        <v>26</v>
      </c>
      <c r="B301" s="1">
        <v>4</v>
      </c>
      <c r="C301" s="1" t="s">
        <v>739</v>
      </c>
      <c r="D301" s="1" t="s">
        <v>739</v>
      </c>
      <c r="F301" s="1" t="s">
        <v>2260</v>
      </c>
      <c r="H301" s="1" t="s">
        <v>64</v>
      </c>
      <c r="I301" s="1" t="s">
        <v>801</v>
      </c>
      <c r="J301" s="1" t="s">
        <v>2590</v>
      </c>
      <c r="O301" s="1" t="s">
        <v>234</v>
      </c>
      <c r="AM301" s="66" t="str">
        <f t="shared" si="4"/>
        <v/>
      </c>
    </row>
    <row r="302" spans="1:39" ht="16.2" x14ac:dyDescent="0.35">
      <c r="A302" s="1" t="s">
        <v>26</v>
      </c>
      <c r="B302" s="1">
        <v>4</v>
      </c>
      <c r="C302" s="1" t="s">
        <v>854</v>
      </c>
      <c r="D302" s="1" t="s">
        <v>739</v>
      </c>
      <c r="F302" s="1" t="s">
        <v>2261</v>
      </c>
      <c r="H302" s="1" t="s">
        <v>40</v>
      </c>
      <c r="I302" s="1" t="s">
        <v>2262</v>
      </c>
      <c r="J302" s="1" t="s">
        <v>2051</v>
      </c>
      <c r="O302" s="1" t="s">
        <v>135</v>
      </c>
      <c r="AE302" s="14" t="s">
        <v>2263</v>
      </c>
      <c r="AF302" s="1" t="s">
        <v>2264</v>
      </c>
      <c r="AH302" s="1" t="s">
        <v>75</v>
      </c>
      <c r="AI302" s="4">
        <v>44876</v>
      </c>
      <c r="AK302" s="2" t="s">
        <v>793</v>
      </c>
      <c r="AM302" s="66" t="str">
        <f t="shared" si="4"/>
        <v/>
      </c>
    </row>
    <row r="303" spans="1:39" ht="28.8" x14ac:dyDescent="0.35">
      <c r="A303" s="1" t="s">
        <v>26</v>
      </c>
      <c r="B303" s="1">
        <v>4</v>
      </c>
      <c r="C303" s="1" t="s">
        <v>854</v>
      </c>
      <c r="D303" s="1" t="s">
        <v>739</v>
      </c>
      <c r="F303" s="1" t="s">
        <v>2265</v>
      </c>
      <c r="H303" s="1" t="s">
        <v>40</v>
      </c>
      <c r="I303" s="1" t="s">
        <v>2266</v>
      </c>
      <c r="J303" s="1" t="s">
        <v>2051</v>
      </c>
      <c r="O303" s="1" t="s">
        <v>135</v>
      </c>
      <c r="AE303" s="14" t="s">
        <v>2267</v>
      </c>
      <c r="AF303" s="1" t="s">
        <v>2264</v>
      </c>
      <c r="AH303" s="1" t="s">
        <v>75</v>
      </c>
      <c r="AI303" s="4">
        <v>44876</v>
      </c>
      <c r="AK303" s="2" t="s">
        <v>793</v>
      </c>
      <c r="AM303" s="66" t="str">
        <f t="shared" si="4"/>
        <v/>
      </c>
    </row>
    <row r="304" spans="1:39" ht="16.2" x14ac:dyDescent="0.35">
      <c r="A304" s="1" t="s">
        <v>26</v>
      </c>
      <c r="B304" s="1">
        <v>4</v>
      </c>
      <c r="C304" s="1" t="s">
        <v>854</v>
      </c>
      <c r="D304" s="1" t="s">
        <v>739</v>
      </c>
      <c r="F304" s="1" t="s">
        <v>2268</v>
      </c>
      <c r="H304" s="1" t="s">
        <v>40</v>
      </c>
      <c r="I304" s="1" t="s">
        <v>2269</v>
      </c>
      <c r="J304" s="1" t="s">
        <v>2051</v>
      </c>
      <c r="O304" s="1" t="s">
        <v>135</v>
      </c>
      <c r="AE304" s="14" t="s">
        <v>2270</v>
      </c>
      <c r="AF304" s="1" t="s">
        <v>2264</v>
      </c>
      <c r="AH304" s="1" t="s">
        <v>75</v>
      </c>
      <c r="AI304" s="4">
        <v>44876</v>
      </c>
      <c r="AK304" s="2" t="s">
        <v>793</v>
      </c>
      <c r="AM304" s="66" t="str">
        <f t="shared" si="4"/>
        <v/>
      </c>
    </row>
    <row r="305" spans="1:39" ht="28.8" x14ac:dyDescent="0.35">
      <c r="A305" s="1" t="s">
        <v>26</v>
      </c>
      <c r="B305" s="1">
        <v>4</v>
      </c>
      <c r="C305" s="1" t="s">
        <v>2271</v>
      </c>
      <c r="D305" s="1" t="s">
        <v>739</v>
      </c>
      <c r="F305" s="1" t="s">
        <v>2272</v>
      </c>
      <c r="H305" s="1" t="s">
        <v>40</v>
      </c>
      <c r="I305" s="1" t="s">
        <v>2273</v>
      </c>
      <c r="J305" s="1" t="s">
        <v>2051</v>
      </c>
      <c r="O305" s="1" t="s">
        <v>135</v>
      </c>
      <c r="AE305" s="14" t="s">
        <v>2274</v>
      </c>
      <c r="AF305" s="1" t="s">
        <v>2264</v>
      </c>
      <c r="AH305" s="1" t="s">
        <v>75</v>
      </c>
      <c r="AI305" s="4">
        <v>44876</v>
      </c>
      <c r="AK305" s="2" t="s">
        <v>793</v>
      </c>
      <c r="AM305" s="66" t="str">
        <f t="shared" si="4"/>
        <v/>
      </c>
    </row>
    <row r="306" spans="1:39" ht="16.2" x14ac:dyDescent="0.35">
      <c r="A306" s="1" t="s">
        <v>26</v>
      </c>
      <c r="B306" s="1">
        <v>4</v>
      </c>
      <c r="C306" s="1" t="s">
        <v>854</v>
      </c>
      <c r="D306" s="1" t="s">
        <v>739</v>
      </c>
      <c r="F306" s="1" t="s">
        <v>2275</v>
      </c>
      <c r="H306" s="1" t="s">
        <v>40</v>
      </c>
      <c r="I306" s="1" t="s">
        <v>2276</v>
      </c>
      <c r="J306" s="1" t="s">
        <v>2051</v>
      </c>
      <c r="O306" s="1" t="s">
        <v>135</v>
      </c>
      <c r="AE306" s="14" t="s">
        <v>2277</v>
      </c>
      <c r="AF306" s="1" t="s">
        <v>2264</v>
      </c>
      <c r="AH306" s="1" t="s">
        <v>75</v>
      </c>
      <c r="AI306" s="4">
        <v>44876</v>
      </c>
      <c r="AK306" s="2" t="s">
        <v>793</v>
      </c>
      <c r="AM306" s="66" t="str">
        <f t="shared" si="4"/>
        <v/>
      </c>
    </row>
    <row r="307" spans="1:39" ht="28.8" x14ac:dyDescent="0.35">
      <c r="A307" s="1" t="s">
        <v>26</v>
      </c>
      <c r="B307" s="1">
        <v>4</v>
      </c>
      <c r="C307" s="1" t="s">
        <v>854</v>
      </c>
      <c r="D307" s="1" t="s">
        <v>739</v>
      </c>
      <c r="F307" s="1" t="s">
        <v>2278</v>
      </c>
      <c r="H307" s="1" t="s">
        <v>40</v>
      </c>
      <c r="I307" s="1" t="s">
        <v>2279</v>
      </c>
      <c r="J307" s="1" t="s">
        <v>2280</v>
      </c>
      <c r="O307" s="1" t="s">
        <v>135</v>
      </c>
      <c r="AE307" s="14" t="s">
        <v>2281</v>
      </c>
      <c r="AF307" s="1" t="s">
        <v>2264</v>
      </c>
      <c r="AH307" s="1" t="s">
        <v>75</v>
      </c>
      <c r="AI307" s="4">
        <v>44876</v>
      </c>
      <c r="AK307" s="2" t="s">
        <v>793</v>
      </c>
      <c r="AM307" s="66" t="str">
        <f t="shared" si="4"/>
        <v/>
      </c>
    </row>
    <row r="308" spans="1:39" ht="28.8" x14ac:dyDescent="0.35">
      <c r="A308" s="1" t="s">
        <v>26</v>
      </c>
      <c r="B308" s="1">
        <v>4</v>
      </c>
      <c r="C308" s="1" t="s">
        <v>854</v>
      </c>
      <c r="D308" s="1" t="s">
        <v>739</v>
      </c>
      <c r="F308" s="1" t="s">
        <v>2282</v>
      </c>
      <c r="H308" s="1" t="s">
        <v>40</v>
      </c>
      <c r="I308" s="1" t="s">
        <v>2283</v>
      </c>
      <c r="J308" s="1" t="s">
        <v>2051</v>
      </c>
      <c r="O308" s="1" t="s">
        <v>135</v>
      </c>
      <c r="AE308" s="14" t="s">
        <v>2284</v>
      </c>
      <c r="AF308" s="1" t="s">
        <v>2264</v>
      </c>
      <c r="AH308" s="1" t="s">
        <v>75</v>
      </c>
      <c r="AI308" s="4">
        <v>44876</v>
      </c>
      <c r="AK308" s="2" t="s">
        <v>793</v>
      </c>
      <c r="AM308" s="66" t="str">
        <f t="shared" si="4"/>
        <v/>
      </c>
    </row>
    <row r="309" spans="1:39" ht="28.8" x14ac:dyDescent="0.35">
      <c r="A309" s="1" t="s">
        <v>26</v>
      </c>
      <c r="B309" s="1">
        <v>4</v>
      </c>
      <c r="C309" s="1" t="s">
        <v>854</v>
      </c>
      <c r="D309" s="1" t="s">
        <v>739</v>
      </c>
      <c r="F309" s="1" t="s">
        <v>2285</v>
      </c>
      <c r="H309" s="1" t="s">
        <v>40</v>
      </c>
      <c r="I309" s="1" t="s">
        <v>2286</v>
      </c>
      <c r="J309" s="1" t="s">
        <v>2287</v>
      </c>
      <c r="O309" s="1" t="s">
        <v>135</v>
      </c>
      <c r="AE309" s="14" t="s">
        <v>2288</v>
      </c>
      <c r="AF309" s="1" t="s">
        <v>2264</v>
      </c>
      <c r="AH309" s="1" t="s">
        <v>75</v>
      </c>
      <c r="AI309" s="4">
        <v>44876</v>
      </c>
      <c r="AK309" s="2" t="s">
        <v>793</v>
      </c>
      <c r="AM309" s="66" t="str">
        <f t="shared" si="4"/>
        <v/>
      </c>
    </row>
    <row r="310" spans="1:39" ht="28.8" x14ac:dyDescent="0.35">
      <c r="A310" s="1" t="s">
        <v>26</v>
      </c>
      <c r="B310" s="1">
        <v>4</v>
      </c>
      <c r="C310" s="1" t="s">
        <v>854</v>
      </c>
      <c r="D310" s="1" t="s">
        <v>739</v>
      </c>
      <c r="F310" s="1" t="s">
        <v>2289</v>
      </c>
      <c r="H310" s="1" t="s">
        <v>40</v>
      </c>
      <c r="I310" s="1" t="s">
        <v>2290</v>
      </c>
      <c r="J310" s="1" t="s">
        <v>2280</v>
      </c>
      <c r="O310" s="1" t="s">
        <v>135</v>
      </c>
      <c r="AE310" s="14" t="s">
        <v>2291</v>
      </c>
      <c r="AF310" s="1" t="s">
        <v>2264</v>
      </c>
      <c r="AH310" s="1" t="s">
        <v>75</v>
      </c>
      <c r="AI310" s="4">
        <v>44876</v>
      </c>
      <c r="AK310" s="2" t="s">
        <v>793</v>
      </c>
      <c r="AM310" s="66" t="str">
        <f t="shared" si="4"/>
        <v/>
      </c>
    </row>
    <row r="311" spans="1:39" ht="28.8" x14ac:dyDescent="0.35">
      <c r="A311" s="1" t="s">
        <v>26</v>
      </c>
      <c r="B311" s="1">
        <v>4</v>
      </c>
      <c r="C311" s="1" t="s">
        <v>854</v>
      </c>
      <c r="D311" s="1" t="s">
        <v>739</v>
      </c>
      <c r="F311" s="1" t="s">
        <v>2292</v>
      </c>
      <c r="H311" s="1" t="s">
        <v>40</v>
      </c>
      <c r="I311" s="1" t="s">
        <v>2293</v>
      </c>
      <c r="J311" s="1" t="s">
        <v>2051</v>
      </c>
      <c r="O311" s="1" t="s">
        <v>135</v>
      </c>
      <c r="AE311" s="14" t="s">
        <v>2294</v>
      </c>
      <c r="AF311" s="1" t="s">
        <v>2264</v>
      </c>
      <c r="AH311" s="1" t="s">
        <v>75</v>
      </c>
      <c r="AI311" s="4">
        <v>44876</v>
      </c>
      <c r="AK311" s="2" t="s">
        <v>793</v>
      </c>
      <c r="AM311" s="66" t="str">
        <f t="shared" si="4"/>
        <v/>
      </c>
    </row>
    <row r="312" spans="1:39" ht="28.8" x14ac:dyDescent="0.35">
      <c r="A312" s="1" t="s">
        <v>26</v>
      </c>
      <c r="B312" s="1">
        <v>4</v>
      </c>
      <c r="C312" s="1" t="s">
        <v>854</v>
      </c>
      <c r="D312" s="1" t="s">
        <v>739</v>
      </c>
      <c r="F312" s="1" t="s">
        <v>2295</v>
      </c>
      <c r="H312" s="1" t="s">
        <v>40</v>
      </c>
      <c r="I312" s="1" t="s">
        <v>2296</v>
      </c>
      <c r="J312" s="1" t="s">
        <v>2051</v>
      </c>
      <c r="O312" s="1" t="s">
        <v>135</v>
      </c>
      <c r="AE312" s="14" t="s">
        <v>2297</v>
      </c>
      <c r="AF312" s="1" t="s">
        <v>2264</v>
      </c>
      <c r="AH312" s="1" t="s">
        <v>75</v>
      </c>
      <c r="AI312" s="4">
        <v>44876</v>
      </c>
      <c r="AK312" s="2" t="s">
        <v>793</v>
      </c>
      <c r="AM312" s="66" t="str">
        <f t="shared" si="4"/>
        <v/>
      </c>
    </row>
    <row r="313" spans="1:39" ht="28.8" x14ac:dyDescent="0.35">
      <c r="A313" s="1" t="s">
        <v>26</v>
      </c>
      <c r="B313" s="1">
        <v>4</v>
      </c>
      <c r="C313" s="1" t="s">
        <v>854</v>
      </c>
      <c r="D313" s="1" t="s">
        <v>739</v>
      </c>
      <c r="F313" s="1" t="s">
        <v>2298</v>
      </c>
      <c r="H313" s="1" t="s">
        <v>40</v>
      </c>
      <c r="I313" s="1" t="s">
        <v>2299</v>
      </c>
      <c r="J313" s="1" t="s">
        <v>2051</v>
      </c>
      <c r="O313" s="1" t="s">
        <v>135</v>
      </c>
      <c r="AE313" s="14" t="s">
        <v>2300</v>
      </c>
      <c r="AF313" s="1" t="s">
        <v>2264</v>
      </c>
      <c r="AH313" s="1" t="s">
        <v>75</v>
      </c>
      <c r="AI313" s="4">
        <v>44876</v>
      </c>
      <c r="AK313" s="2" t="s">
        <v>793</v>
      </c>
      <c r="AM313" s="66" t="str">
        <f t="shared" si="4"/>
        <v/>
      </c>
    </row>
    <row r="314" spans="1:39" ht="16.2" x14ac:dyDescent="0.35">
      <c r="A314" s="1" t="s">
        <v>26</v>
      </c>
      <c r="B314" s="1">
        <v>4</v>
      </c>
      <c r="C314" s="1" t="s">
        <v>357</v>
      </c>
      <c r="D314" s="1" t="s">
        <v>739</v>
      </c>
      <c r="F314" s="1" t="s">
        <v>2301</v>
      </c>
      <c r="H314" s="1" t="s">
        <v>547</v>
      </c>
      <c r="I314" s="1" t="s">
        <v>2302</v>
      </c>
      <c r="J314" s="1" t="s">
        <v>2303</v>
      </c>
      <c r="O314" s="1" t="s">
        <v>360</v>
      </c>
      <c r="S314" s="1">
        <v>220</v>
      </c>
      <c r="T314" s="1" t="s">
        <v>1085</v>
      </c>
      <c r="AA314" s="1" t="s">
        <v>119</v>
      </c>
      <c r="AE314" s="14" t="s">
        <v>2304</v>
      </c>
      <c r="AF314" s="1" t="s">
        <v>2305</v>
      </c>
      <c r="AH314" s="1" t="s">
        <v>75</v>
      </c>
      <c r="AI314" s="4">
        <v>44876</v>
      </c>
      <c r="AK314" s="2" t="s">
        <v>793</v>
      </c>
      <c r="AM314" s="66" t="str">
        <f t="shared" si="4"/>
        <v/>
      </c>
    </row>
    <row r="315" spans="1:39" ht="16.2" x14ac:dyDescent="0.35">
      <c r="A315" s="1" t="s">
        <v>26</v>
      </c>
      <c r="B315" s="1">
        <v>4</v>
      </c>
      <c r="C315" s="1" t="s">
        <v>832</v>
      </c>
      <c r="D315" s="1" t="s">
        <v>785</v>
      </c>
      <c r="F315" s="1" t="s">
        <v>2306</v>
      </c>
      <c r="H315" s="1" t="s">
        <v>40</v>
      </c>
      <c r="I315" s="1" t="s">
        <v>2307</v>
      </c>
      <c r="J315" s="1" t="s">
        <v>2308</v>
      </c>
      <c r="O315" s="1" t="s">
        <v>360</v>
      </c>
      <c r="R315" s="1">
        <v>85</v>
      </c>
      <c r="S315" s="1">
        <v>264</v>
      </c>
      <c r="T315" s="1" t="s">
        <v>1085</v>
      </c>
      <c r="V315" s="1" t="s">
        <v>2309</v>
      </c>
      <c r="AA315" s="1" t="s">
        <v>1212</v>
      </c>
      <c r="AE315" s="14" t="s">
        <v>2310</v>
      </c>
      <c r="AF315" s="1" t="s">
        <v>2311</v>
      </c>
      <c r="AH315" s="1" t="s">
        <v>112</v>
      </c>
      <c r="AI315" s="4">
        <v>44967</v>
      </c>
      <c r="AK315" s="2" t="s">
        <v>2312</v>
      </c>
      <c r="AM315" s="66" t="str">
        <f t="shared" si="4"/>
        <v/>
      </c>
    </row>
    <row r="316" spans="1:39" ht="28.8" x14ac:dyDescent="0.35">
      <c r="A316" s="1" t="s">
        <v>26</v>
      </c>
      <c r="B316" s="1">
        <v>5</v>
      </c>
      <c r="C316" s="1" t="s">
        <v>2313</v>
      </c>
      <c r="F316" s="1" t="s">
        <v>2314</v>
      </c>
      <c r="H316" s="1" t="s">
        <v>464</v>
      </c>
      <c r="I316" s="1" t="s">
        <v>763</v>
      </c>
      <c r="J316" s="1" t="s">
        <v>2590</v>
      </c>
      <c r="O316" s="1" t="s">
        <v>234</v>
      </c>
      <c r="V316" s="1" t="s">
        <v>2315</v>
      </c>
      <c r="AM316" s="66" t="str">
        <f t="shared" si="4"/>
        <v/>
      </c>
    </row>
    <row r="317" spans="1:39" ht="28.8" x14ac:dyDescent="0.35">
      <c r="A317" s="1" t="s">
        <v>26</v>
      </c>
      <c r="B317" s="1">
        <v>5</v>
      </c>
      <c r="C317" s="1" t="s">
        <v>2313</v>
      </c>
      <c r="F317" s="1" t="s">
        <v>2316</v>
      </c>
      <c r="H317" s="1" t="s">
        <v>464</v>
      </c>
      <c r="I317" s="1" t="s">
        <v>2317</v>
      </c>
      <c r="J317" s="1" t="s">
        <v>2590</v>
      </c>
      <c r="O317" s="1" t="s">
        <v>234</v>
      </c>
      <c r="V317" s="1" t="s">
        <v>2318</v>
      </c>
      <c r="AM317" s="66" t="str">
        <f t="shared" si="4"/>
        <v/>
      </c>
    </row>
    <row r="318" spans="1:39" ht="28.8" x14ac:dyDescent="0.35">
      <c r="A318" s="1" t="s">
        <v>26</v>
      </c>
      <c r="B318" s="1">
        <v>5</v>
      </c>
      <c r="C318" s="1" t="s">
        <v>2313</v>
      </c>
      <c r="F318" s="1" t="s">
        <v>2319</v>
      </c>
      <c r="H318" s="1" t="s">
        <v>464</v>
      </c>
      <c r="I318" s="1" t="s">
        <v>2320</v>
      </c>
      <c r="J318" s="1" t="s">
        <v>2590</v>
      </c>
      <c r="O318" s="1" t="s">
        <v>234</v>
      </c>
      <c r="AM318" s="66" t="str">
        <f t="shared" si="4"/>
        <v/>
      </c>
    </row>
    <row r="319" spans="1:39" ht="43.2" x14ac:dyDescent="0.35">
      <c r="A319" s="1" t="s">
        <v>26</v>
      </c>
      <c r="B319" s="1">
        <v>5</v>
      </c>
      <c r="C319" s="1" t="s">
        <v>2321</v>
      </c>
      <c r="F319" s="1" t="s">
        <v>2322</v>
      </c>
      <c r="H319" s="1" t="s">
        <v>464</v>
      </c>
      <c r="I319" s="1" t="s">
        <v>2323</v>
      </c>
      <c r="J319" s="1" t="s">
        <v>2590</v>
      </c>
      <c r="O319" s="1" t="s">
        <v>234</v>
      </c>
      <c r="AM319" s="66" t="str">
        <f t="shared" si="4"/>
        <v/>
      </c>
    </row>
    <row r="320" spans="1:39" ht="43.2" x14ac:dyDescent="0.35">
      <c r="A320" s="1" t="s">
        <v>26</v>
      </c>
      <c r="B320" s="1">
        <v>5</v>
      </c>
      <c r="C320" s="1" t="s">
        <v>2321</v>
      </c>
      <c r="F320" s="1" t="s">
        <v>2324</v>
      </c>
      <c r="H320" s="1" t="s">
        <v>464</v>
      </c>
      <c r="I320" s="1" t="s">
        <v>2325</v>
      </c>
      <c r="J320" s="1" t="s">
        <v>2590</v>
      </c>
      <c r="O320" s="1" t="s">
        <v>234</v>
      </c>
      <c r="AM320" s="66" t="str">
        <f t="shared" si="4"/>
        <v/>
      </c>
    </row>
    <row r="321" spans="1:39" ht="43.2" x14ac:dyDescent="0.35">
      <c r="A321" s="1" t="s">
        <v>26</v>
      </c>
      <c r="B321" s="1">
        <v>5</v>
      </c>
      <c r="C321" s="1" t="s">
        <v>2321</v>
      </c>
      <c r="F321" s="1" t="s">
        <v>2326</v>
      </c>
      <c r="H321" s="1" t="s">
        <v>464</v>
      </c>
      <c r="I321" s="1" t="s">
        <v>2327</v>
      </c>
      <c r="J321" s="1" t="s">
        <v>2590</v>
      </c>
      <c r="O321" s="1" t="s">
        <v>234</v>
      </c>
      <c r="AM321" s="66" t="str">
        <f t="shared" si="4"/>
        <v/>
      </c>
    </row>
    <row r="322" spans="1:39" ht="57.6" x14ac:dyDescent="0.35">
      <c r="A322" s="1" t="s">
        <v>26</v>
      </c>
      <c r="B322" s="1">
        <v>5</v>
      </c>
      <c r="C322" s="1" t="s">
        <v>2321</v>
      </c>
      <c r="F322" s="1" t="s">
        <v>2328</v>
      </c>
      <c r="H322" s="1" t="s">
        <v>64</v>
      </c>
      <c r="I322" s="1" t="s">
        <v>2329</v>
      </c>
      <c r="J322" s="1" t="s">
        <v>2330</v>
      </c>
      <c r="O322" s="1" t="s">
        <v>234</v>
      </c>
      <c r="V322" s="1" t="s">
        <v>2331</v>
      </c>
      <c r="AA322" s="1" t="s">
        <v>1248</v>
      </c>
      <c r="AB322" s="4">
        <v>41640</v>
      </c>
      <c r="AM322" s="66" t="str">
        <f t="shared" si="4"/>
        <v/>
      </c>
    </row>
    <row r="323" spans="1:39" ht="28.8" x14ac:dyDescent="0.35">
      <c r="A323" s="1" t="s">
        <v>26</v>
      </c>
      <c r="B323" s="1">
        <v>5</v>
      </c>
      <c r="C323" s="1" t="s">
        <v>2332</v>
      </c>
      <c r="F323" s="1" t="s">
        <v>2333</v>
      </c>
      <c r="H323" s="1" t="s">
        <v>464</v>
      </c>
      <c r="I323" s="1" t="s">
        <v>2334</v>
      </c>
      <c r="J323" s="1" t="s">
        <v>2590</v>
      </c>
      <c r="O323" s="1" t="s">
        <v>234</v>
      </c>
      <c r="AM323" s="66" t="str">
        <f t="shared" ref="AM323:AM386" si="5">ExtrairCaminhoHiperlink(AJ323)</f>
        <v/>
      </c>
    </row>
    <row r="324" spans="1:39" ht="28.8" x14ac:dyDescent="0.35">
      <c r="A324" s="1" t="s">
        <v>26</v>
      </c>
      <c r="B324" s="1">
        <v>5</v>
      </c>
      <c r="C324" s="1" t="s">
        <v>2332</v>
      </c>
      <c r="F324" s="1" t="s">
        <v>2335</v>
      </c>
      <c r="H324" s="1" t="s">
        <v>2189</v>
      </c>
      <c r="I324" s="1" t="s">
        <v>2336</v>
      </c>
      <c r="J324" s="1" t="s">
        <v>2590</v>
      </c>
      <c r="O324" s="1" t="s">
        <v>234</v>
      </c>
      <c r="AM324" s="66" t="str">
        <f t="shared" si="5"/>
        <v/>
      </c>
    </row>
    <row r="325" spans="1:39" ht="28.8" x14ac:dyDescent="0.35">
      <c r="A325" s="1" t="s">
        <v>26</v>
      </c>
      <c r="B325" s="1">
        <v>5</v>
      </c>
      <c r="C325" s="1" t="s">
        <v>2332</v>
      </c>
      <c r="F325" s="1" t="s">
        <v>2337</v>
      </c>
      <c r="H325" s="1" t="s">
        <v>464</v>
      </c>
      <c r="I325" s="1" t="s">
        <v>2338</v>
      </c>
      <c r="J325" s="1" t="s">
        <v>2590</v>
      </c>
      <c r="O325" s="1" t="s">
        <v>234</v>
      </c>
      <c r="AM325" s="66" t="str">
        <f t="shared" si="5"/>
        <v/>
      </c>
    </row>
    <row r="326" spans="1:39" ht="28.8" x14ac:dyDescent="0.35">
      <c r="A326" s="1" t="s">
        <v>26</v>
      </c>
      <c r="B326" s="1">
        <v>5</v>
      </c>
      <c r="C326" s="1" t="s">
        <v>832</v>
      </c>
      <c r="D326" s="1" t="s">
        <v>739</v>
      </c>
      <c r="F326" s="1" t="s">
        <v>2339</v>
      </c>
      <c r="H326" s="1" t="s">
        <v>64</v>
      </c>
      <c r="I326" s="1" t="s">
        <v>2340</v>
      </c>
      <c r="J326" s="1" t="s">
        <v>2590</v>
      </c>
      <c r="O326" s="1" t="s">
        <v>234</v>
      </c>
      <c r="AM326" s="66" t="str">
        <f t="shared" si="5"/>
        <v/>
      </c>
    </row>
    <row r="327" spans="1:39" ht="28.8" x14ac:dyDescent="0.35">
      <c r="A327" s="1" t="s">
        <v>26</v>
      </c>
      <c r="B327" s="1">
        <v>5</v>
      </c>
      <c r="C327" s="1" t="s">
        <v>832</v>
      </c>
      <c r="D327" s="1" t="s">
        <v>739</v>
      </c>
      <c r="F327" s="1" t="s">
        <v>2341</v>
      </c>
      <c r="H327" s="1" t="s">
        <v>1408</v>
      </c>
      <c r="I327" s="1" t="s">
        <v>2342</v>
      </c>
      <c r="J327" s="1" t="s">
        <v>2590</v>
      </c>
      <c r="O327" s="1" t="s">
        <v>234</v>
      </c>
      <c r="AM327" s="66" t="str">
        <f t="shared" si="5"/>
        <v/>
      </c>
    </row>
    <row r="328" spans="1:39" ht="28.8" x14ac:dyDescent="0.35">
      <c r="A328" s="1" t="s">
        <v>26</v>
      </c>
      <c r="B328" s="1">
        <v>5</v>
      </c>
      <c r="C328" s="1" t="s">
        <v>832</v>
      </c>
      <c r="D328" s="1" t="s">
        <v>739</v>
      </c>
      <c r="F328" s="1" t="s">
        <v>2343</v>
      </c>
      <c r="H328" s="1" t="s">
        <v>64</v>
      </c>
      <c r="I328" s="1" t="s">
        <v>2344</v>
      </c>
      <c r="J328" s="1" t="s">
        <v>2590</v>
      </c>
      <c r="O328" s="1" t="s">
        <v>234</v>
      </c>
      <c r="AM328" s="66" t="str">
        <f t="shared" si="5"/>
        <v/>
      </c>
    </row>
    <row r="329" spans="1:39" ht="72" x14ac:dyDescent="0.35">
      <c r="A329" s="1" t="s">
        <v>26</v>
      </c>
      <c r="B329" s="1">
        <v>5</v>
      </c>
      <c r="C329" s="1" t="s">
        <v>832</v>
      </c>
      <c r="D329" s="1" t="s">
        <v>739</v>
      </c>
      <c r="F329" s="1" t="s">
        <v>2345</v>
      </c>
      <c r="H329" s="1" t="s">
        <v>64</v>
      </c>
      <c r="I329" s="1" t="s">
        <v>2346</v>
      </c>
      <c r="J329" s="1" t="s">
        <v>2590</v>
      </c>
      <c r="O329" s="1" t="s">
        <v>234</v>
      </c>
      <c r="AM329" s="66" t="str">
        <f t="shared" si="5"/>
        <v/>
      </c>
    </row>
    <row r="330" spans="1:39" ht="43.2" x14ac:dyDescent="0.35">
      <c r="A330" s="1" t="s">
        <v>26</v>
      </c>
      <c r="B330" s="1">
        <v>10</v>
      </c>
      <c r="C330" s="1" t="s">
        <v>62</v>
      </c>
      <c r="D330" s="1" t="s">
        <v>739</v>
      </c>
      <c r="F330" s="1" t="s">
        <v>63</v>
      </c>
      <c r="H330" s="1" t="s">
        <v>64</v>
      </c>
      <c r="I330" s="1" t="s">
        <v>65</v>
      </c>
      <c r="J330" s="1" t="s">
        <v>66</v>
      </c>
      <c r="O330" s="1" t="s">
        <v>67</v>
      </c>
      <c r="P330" s="1">
        <v>3</v>
      </c>
      <c r="Q330" s="1" t="s">
        <v>68</v>
      </c>
      <c r="R330" s="1">
        <v>220</v>
      </c>
      <c r="S330" s="1">
        <v>220</v>
      </c>
      <c r="T330" s="1" t="s">
        <v>69</v>
      </c>
      <c r="U330" s="1" t="s">
        <v>70</v>
      </c>
      <c r="W330" s="1" t="s">
        <v>71</v>
      </c>
      <c r="AB330" s="4">
        <v>41275</v>
      </c>
      <c r="AD330" s="1" t="s">
        <v>72</v>
      </c>
      <c r="AE330" s="14" t="s">
        <v>73</v>
      </c>
      <c r="AF330" s="1" t="s">
        <v>74</v>
      </c>
      <c r="AH330" s="1" t="s">
        <v>75</v>
      </c>
      <c r="AI330" s="4">
        <v>44847</v>
      </c>
      <c r="AJ330" s="12" t="s">
        <v>76</v>
      </c>
      <c r="AM330" s="66" t="str">
        <f t="shared" si="5"/>
        <v>https://ensinoiptbr.sharepoint.com/:f:/s/ControledeAtivos/Eu2d6t6CquFAnytlhDyyhqsBiyN-EOiwchoNllATEr5TYg?e=ZXfZhU</v>
      </c>
    </row>
    <row r="331" spans="1:39" ht="32.4" x14ac:dyDescent="0.35">
      <c r="A331" s="1" t="s">
        <v>26</v>
      </c>
      <c r="B331" s="1">
        <v>10</v>
      </c>
      <c r="C331" s="1" t="s">
        <v>77</v>
      </c>
      <c r="D331" s="1" t="s">
        <v>739</v>
      </c>
      <c r="F331" s="1" t="s">
        <v>78</v>
      </c>
      <c r="H331" s="1" t="s">
        <v>64</v>
      </c>
      <c r="I331" s="1" t="s">
        <v>79</v>
      </c>
      <c r="J331" s="1" t="s">
        <v>80</v>
      </c>
      <c r="O331" s="1" t="s">
        <v>81</v>
      </c>
      <c r="P331" s="5">
        <v>0.5</v>
      </c>
      <c r="Q331" s="5" t="s">
        <v>68</v>
      </c>
      <c r="R331" s="1">
        <v>220</v>
      </c>
      <c r="S331" s="1">
        <v>220</v>
      </c>
      <c r="T331" s="1" t="s">
        <v>69</v>
      </c>
      <c r="V331" s="1" t="s">
        <v>82</v>
      </c>
      <c r="AA331" s="1" t="s">
        <v>83</v>
      </c>
      <c r="AB331" s="4">
        <v>24838</v>
      </c>
      <c r="AC331" s="1" t="s">
        <v>84</v>
      </c>
      <c r="AD331" s="1" t="s">
        <v>85</v>
      </c>
      <c r="AE331" s="14" t="s">
        <v>86</v>
      </c>
      <c r="AF331" s="1" t="s">
        <v>87</v>
      </c>
      <c r="AH331" s="1" t="s">
        <v>75</v>
      </c>
      <c r="AI331" s="4">
        <v>44837</v>
      </c>
      <c r="AJ331" s="12" t="s">
        <v>65</v>
      </c>
      <c r="AM331" s="66" t="str">
        <f t="shared" si="5"/>
        <v>https://ensinoiptbr.sharepoint.com/:f:/s/ControledeAtivos/EuqQgor_0HZHkSN2nAAd-XYBQhGNRzhWwX_6boUSvPRSJQ?e=W9Q84B</v>
      </c>
    </row>
    <row r="332" spans="1:39" ht="32.4" x14ac:dyDescent="0.35">
      <c r="A332" s="1" t="s">
        <v>26</v>
      </c>
      <c r="B332" s="1">
        <v>10</v>
      </c>
      <c r="C332" s="1" t="s">
        <v>88</v>
      </c>
      <c r="D332" s="1" t="s">
        <v>739</v>
      </c>
      <c r="F332" s="1" t="s">
        <v>89</v>
      </c>
      <c r="H332" s="1" t="s">
        <v>64</v>
      </c>
      <c r="I332" s="1" t="s">
        <v>90</v>
      </c>
      <c r="J332" s="1" t="s">
        <v>2590</v>
      </c>
      <c r="O332" s="1" t="s">
        <v>67</v>
      </c>
      <c r="P332" s="5">
        <v>1.5</v>
      </c>
      <c r="Q332" s="5" t="s">
        <v>68</v>
      </c>
      <c r="R332" s="1">
        <v>220</v>
      </c>
      <c r="S332" s="1">
        <v>220</v>
      </c>
      <c r="T332" s="1" t="s">
        <v>69</v>
      </c>
      <c r="AD332" s="1" t="s">
        <v>72</v>
      </c>
      <c r="AE332" s="14" t="s">
        <v>91</v>
      </c>
      <c r="AF332" s="1" t="s">
        <v>92</v>
      </c>
      <c r="AH332" s="1" t="s">
        <v>75</v>
      </c>
      <c r="AI332" s="4">
        <v>44837</v>
      </c>
      <c r="AJ332" s="12" t="s">
        <v>79</v>
      </c>
      <c r="AM332" s="66" t="str">
        <f t="shared" si="5"/>
        <v>https://ensinoiptbr.sharepoint.com/:f:/s/ControledeAtivos/EqL4O8ZqvRRMolnAivJqB-gBcopa8t5Xr659-CMBb9SX7A?e=xiXUB3</v>
      </c>
    </row>
    <row r="333" spans="1:39" ht="81" x14ac:dyDescent="0.35">
      <c r="A333" s="1" t="s">
        <v>26</v>
      </c>
      <c r="B333" s="1">
        <v>10</v>
      </c>
      <c r="C333" s="1" t="s">
        <v>105</v>
      </c>
      <c r="D333" s="1" t="s">
        <v>739</v>
      </c>
      <c r="F333" s="1" t="s">
        <v>106</v>
      </c>
      <c r="H333" s="1" t="s">
        <v>64</v>
      </c>
      <c r="I333" s="1" t="s">
        <v>107</v>
      </c>
      <c r="J333" s="1" t="s">
        <v>108</v>
      </c>
      <c r="O333" s="1" t="s">
        <v>109</v>
      </c>
      <c r="R333" s="1">
        <v>220</v>
      </c>
      <c r="S333" s="1">
        <v>220</v>
      </c>
      <c r="AD333" s="1" t="s">
        <v>72</v>
      </c>
      <c r="AE333" s="14" t="s">
        <v>110</v>
      </c>
      <c r="AF333" s="1" t="s">
        <v>111</v>
      </c>
      <c r="AH333" s="1" t="s">
        <v>112</v>
      </c>
      <c r="AI333" s="4">
        <v>44820</v>
      </c>
      <c r="AJ333" s="12" t="s">
        <v>113</v>
      </c>
      <c r="AM333" s="66" t="str">
        <f t="shared" si="5"/>
        <v>https://ensinoiptbr-my.sharepoint.com/personal/ericaugustin_ipt_br/Documents/Documentos/Prototipos/2023/Projeto Controle Ativos/SistemaAtivos2/:f:/s/ControledeAtivos/EiRCs10Lk15LscUrVP2PHNYBAJAJYom1c1lADQP1UB-YOg?e=vkAgzt</v>
      </c>
    </row>
    <row r="334" spans="1:39" ht="81" x14ac:dyDescent="0.35">
      <c r="A334" s="1" t="s">
        <v>26</v>
      </c>
      <c r="B334" s="1">
        <v>10</v>
      </c>
      <c r="C334" s="1" t="s">
        <v>114</v>
      </c>
      <c r="D334" s="1" t="s">
        <v>739</v>
      </c>
      <c r="F334" s="1" t="s">
        <v>115</v>
      </c>
      <c r="H334" s="1" t="s">
        <v>64</v>
      </c>
      <c r="I334" s="1" t="s">
        <v>116</v>
      </c>
      <c r="J334" s="1" t="s">
        <v>117</v>
      </c>
      <c r="O334" s="1" t="s">
        <v>67</v>
      </c>
      <c r="P334" s="1">
        <v>2000</v>
      </c>
      <c r="Q334" s="1" t="s">
        <v>97</v>
      </c>
      <c r="R334" s="1">
        <v>220</v>
      </c>
      <c r="S334" s="1">
        <v>220</v>
      </c>
      <c r="V334" s="1" t="s">
        <v>118</v>
      </c>
      <c r="AA334" s="1" t="s">
        <v>119</v>
      </c>
      <c r="AC334" s="1" t="s">
        <v>120</v>
      </c>
      <c r="AD334" s="1" t="s">
        <v>72</v>
      </c>
      <c r="AE334" s="14" t="s">
        <v>121</v>
      </c>
      <c r="AF334" s="1" t="s">
        <v>122</v>
      </c>
      <c r="AH334" s="1" t="s">
        <v>112</v>
      </c>
      <c r="AI334" s="4">
        <v>44820</v>
      </c>
      <c r="AJ334" s="12" t="s">
        <v>123</v>
      </c>
      <c r="AM334" s="66" t="str">
        <f t="shared" si="5"/>
        <v>https://ensinoiptbr-my.sharepoint.com/personal/ericaugustin_ipt_br/Documents/Documentos/Prototipos/2023/Projeto Controle Ativos/SistemaAtivos2/:f:/s/ControledeAtivos/ElDxKKvUul5Ougs_qZcrzrEB3F8FrkBHSbqesSDZQdMU_w?e=8ecQPK</v>
      </c>
    </row>
    <row r="335" spans="1:39" ht="81" x14ac:dyDescent="0.35">
      <c r="A335" s="1" t="s">
        <v>26</v>
      </c>
      <c r="B335" s="1">
        <v>10</v>
      </c>
      <c r="C335" s="1" t="s">
        <v>124</v>
      </c>
      <c r="D335" s="1" t="s">
        <v>739</v>
      </c>
      <c r="F335" s="1" t="s">
        <v>125</v>
      </c>
      <c r="H335" s="1" t="s">
        <v>64</v>
      </c>
      <c r="I335" s="1" t="s">
        <v>123</v>
      </c>
      <c r="J335" s="1" t="s">
        <v>126</v>
      </c>
      <c r="O335" s="1" t="s">
        <v>67</v>
      </c>
      <c r="P335" s="1">
        <v>2000</v>
      </c>
      <c r="Q335" s="1" t="s">
        <v>97</v>
      </c>
      <c r="R335" s="1">
        <v>220</v>
      </c>
      <c r="S335" s="1">
        <v>220</v>
      </c>
      <c r="V335" s="1" t="s">
        <v>127</v>
      </c>
      <c r="AA335" s="1" t="s">
        <v>119</v>
      </c>
      <c r="AB335" s="4">
        <v>2008</v>
      </c>
      <c r="AC335" s="1" t="s">
        <v>120</v>
      </c>
      <c r="AD335" s="1" t="s">
        <v>72</v>
      </c>
      <c r="AE335" s="14" t="s">
        <v>128</v>
      </c>
      <c r="AF335" s="1" t="s">
        <v>129</v>
      </c>
      <c r="AH335" s="1" t="s">
        <v>75</v>
      </c>
      <c r="AI335" s="4">
        <v>44820</v>
      </c>
      <c r="AJ335" s="12" t="s">
        <v>107</v>
      </c>
      <c r="AM335" s="66" t="str">
        <f t="shared" si="5"/>
        <v>https://ensinoiptbr-my.sharepoint.com/personal/ericaugustin_ipt_br/Documents/Documentos/Prototipos/2023/Projeto Controle Ativos/SistemaAtivos2/:f:/s/ControledeAtivos/EixSrwwHs-BIpRWCvUUiLpUB4M83BLAckyJgnace04mKHQ?e=h6xG50</v>
      </c>
    </row>
    <row r="336" spans="1:39" ht="81" x14ac:dyDescent="0.35">
      <c r="A336" s="1" t="s">
        <v>26</v>
      </c>
      <c r="B336" s="1">
        <v>10</v>
      </c>
      <c r="C336" s="1" t="s">
        <v>130</v>
      </c>
      <c r="D336" s="1" t="s">
        <v>739</v>
      </c>
      <c r="E336" s="1" t="s">
        <v>131</v>
      </c>
      <c r="F336" s="1" t="s">
        <v>132</v>
      </c>
      <c r="H336" s="1" t="s">
        <v>64</v>
      </c>
      <c r="I336" s="1" t="s">
        <v>133</v>
      </c>
      <c r="J336" s="1" t="s">
        <v>134</v>
      </c>
      <c r="O336" s="1" t="s">
        <v>135</v>
      </c>
      <c r="R336" s="1">
        <v>230</v>
      </c>
      <c r="S336" s="1">
        <v>230</v>
      </c>
      <c r="V336" s="1" t="s">
        <v>136</v>
      </c>
      <c r="AA336" s="1" t="s">
        <v>119</v>
      </c>
      <c r="AB336" s="4">
        <v>2012</v>
      </c>
      <c r="AF336" s="1" t="s">
        <v>137</v>
      </c>
      <c r="AG336" s="1" t="s">
        <v>138</v>
      </c>
      <c r="AH336" s="1" t="s">
        <v>75</v>
      </c>
      <c r="AI336" s="4">
        <v>44820</v>
      </c>
      <c r="AJ336" s="12" t="s">
        <v>116</v>
      </c>
      <c r="AM336" s="66" t="str">
        <f t="shared" si="5"/>
        <v>https://ensinoiptbr-my.sharepoint.com/personal/ericaugustin_ipt_br/Documents/Documentos/Prototipos/2023/Projeto Controle Ativos/SistemaAtivos2/:f:/s/ControledeAtivos/En9ILS3alb1Lva7W_FVh5ewB3n_okjUO7lPq4G-OAVC2Mg?e=JfEH9m</v>
      </c>
    </row>
    <row r="337" spans="1:39" ht="43.2" x14ac:dyDescent="0.35">
      <c r="A337" s="1" t="s">
        <v>26</v>
      </c>
      <c r="B337" s="1">
        <v>10</v>
      </c>
      <c r="C337" s="1" t="s">
        <v>114</v>
      </c>
      <c r="D337" s="1" t="s">
        <v>739</v>
      </c>
      <c r="E337" s="1" t="s">
        <v>139</v>
      </c>
      <c r="F337" s="1" t="s">
        <v>140</v>
      </c>
      <c r="H337" s="1" t="s">
        <v>64</v>
      </c>
      <c r="I337" s="1" t="s">
        <v>141</v>
      </c>
      <c r="J337" s="1" t="s">
        <v>142</v>
      </c>
      <c r="O337" s="1" t="s">
        <v>67</v>
      </c>
      <c r="V337" s="1">
        <v>451</v>
      </c>
      <c r="AD337" s="1" t="s">
        <v>72</v>
      </c>
      <c r="AE337" s="14" t="s">
        <v>143</v>
      </c>
      <c r="AF337" s="1" t="s">
        <v>144</v>
      </c>
      <c r="AH337" s="1" t="s">
        <v>145</v>
      </c>
      <c r="AI337" s="4">
        <v>44852</v>
      </c>
      <c r="AJ337" s="12" t="s">
        <v>133</v>
      </c>
      <c r="AM337" s="66" t="str">
        <f t="shared" si="5"/>
        <v>https://ensinoiptbr.sharepoint.com/:f:/s/ControledeAtivos/EtA34-sWDKpDvX14RY0IOv4Ba8_nhSDn_fMwjETIGM1ztw?e=gN8nxz</v>
      </c>
    </row>
    <row r="338" spans="1:39" ht="81" x14ac:dyDescent="0.35">
      <c r="A338" s="1" t="s">
        <v>26</v>
      </c>
      <c r="B338" s="1">
        <v>10</v>
      </c>
      <c r="C338" s="1" t="s">
        <v>130</v>
      </c>
      <c r="D338" s="1" t="s">
        <v>739</v>
      </c>
      <c r="E338" s="1" t="s">
        <v>146</v>
      </c>
      <c r="F338" s="1" t="s">
        <v>147</v>
      </c>
      <c r="H338" s="1" t="s">
        <v>64</v>
      </c>
      <c r="I338" s="1" t="s">
        <v>148</v>
      </c>
      <c r="J338" s="1" t="s">
        <v>149</v>
      </c>
      <c r="O338" s="1" t="s">
        <v>135</v>
      </c>
      <c r="P338" s="1">
        <v>150</v>
      </c>
      <c r="Q338" s="1" t="s">
        <v>97</v>
      </c>
      <c r="R338" s="1">
        <v>100</v>
      </c>
      <c r="S338" s="1">
        <v>240</v>
      </c>
      <c r="V338" s="1" t="s">
        <v>150</v>
      </c>
      <c r="AB338" s="4">
        <v>40179</v>
      </c>
      <c r="AC338" s="1" t="s">
        <v>151</v>
      </c>
      <c r="AD338" s="1" t="s">
        <v>72</v>
      </c>
      <c r="AE338" s="14" t="s">
        <v>152</v>
      </c>
      <c r="AF338" s="1" t="s">
        <v>153</v>
      </c>
      <c r="AH338" s="1" t="s">
        <v>154</v>
      </c>
      <c r="AI338" s="4">
        <v>44820</v>
      </c>
      <c r="AJ338" s="12" t="s">
        <v>148</v>
      </c>
      <c r="AM338" s="66" t="str">
        <f t="shared" si="5"/>
        <v>https://ensinoiptbr-my.sharepoint.com/personal/ericaugustin_ipt_br/Documents/Documentos/Prototipos/2023/Projeto Controle Ativos/SistemaAtivos2/:f:/s/ControledeAtivos/EuLQkW-y-3NPvq-2KJEbLjQB2_JPUz8RHtoPsxG1xgPlHQ?e=xuucMX</v>
      </c>
    </row>
    <row r="339" spans="1:39" ht="81" x14ac:dyDescent="0.35">
      <c r="A339" s="1" t="s">
        <v>26</v>
      </c>
      <c r="B339" s="1">
        <v>10</v>
      </c>
      <c r="C339" s="1" t="s">
        <v>130</v>
      </c>
      <c r="D339" s="1" t="s">
        <v>739</v>
      </c>
      <c r="E339" s="1" t="s">
        <v>146</v>
      </c>
      <c r="F339" s="1" t="s">
        <v>155</v>
      </c>
      <c r="H339" s="1" t="s">
        <v>64</v>
      </c>
      <c r="I339" s="1" t="s">
        <v>156</v>
      </c>
      <c r="J339" s="1" t="s">
        <v>126</v>
      </c>
      <c r="O339" s="1" t="s">
        <v>135</v>
      </c>
      <c r="P339" s="1">
        <v>15</v>
      </c>
      <c r="Q339" s="1" t="s">
        <v>97</v>
      </c>
      <c r="R339" s="1">
        <v>90</v>
      </c>
      <c r="S339" s="1">
        <v>240</v>
      </c>
      <c r="V339" s="1" t="s">
        <v>157</v>
      </c>
      <c r="AA339" s="1" t="s">
        <v>119</v>
      </c>
      <c r="AB339" s="4">
        <v>40909</v>
      </c>
      <c r="AD339" s="1" t="s">
        <v>72</v>
      </c>
      <c r="AE339" s="14" t="s">
        <v>158</v>
      </c>
      <c r="AF339" s="1" t="s">
        <v>159</v>
      </c>
      <c r="AH339" s="1" t="s">
        <v>160</v>
      </c>
      <c r="AI339" s="4">
        <v>44820</v>
      </c>
      <c r="AJ339" s="12" t="s">
        <v>156</v>
      </c>
      <c r="AM339" s="66" t="str">
        <f t="shared" si="5"/>
        <v>https://ensinoiptbr-my.sharepoint.com/personal/ericaugustin_ipt_br/Documents/Documentos/Prototipos/2023/Projeto Controle Ativos/SistemaAtivos2/:f:/s/ControledeAtivos/EmTSUaYYCv1KhJNFWWGNQMcB_CRqLdJBmPr6JqF_MyWDog?e=iwaShp</v>
      </c>
    </row>
    <row r="340" spans="1:39" ht="81" x14ac:dyDescent="0.35">
      <c r="A340" s="1" t="s">
        <v>26</v>
      </c>
      <c r="B340" s="1">
        <v>10</v>
      </c>
      <c r="C340" s="1" t="s">
        <v>114</v>
      </c>
      <c r="D340" s="1" t="s">
        <v>739</v>
      </c>
      <c r="E340" s="1" t="s">
        <v>146</v>
      </c>
      <c r="F340" s="1" t="s">
        <v>161</v>
      </c>
      <c r="H340" s="1" t="s">
        <v>162</v>
      </c>
      <c r="I340" s="1" t="s">
        <v>163</v>
      </c>
      <c r="J340" s="1" t="s">
        <v>164</v>
      </c>
      <c r="O340" s="1" t="s">
        <v>67</v>
      </c>
      <c r="P340" s="1">
        <v>200</v>
      </c>
      <c r="Q340" s="1" t="s">
        <v>97</v>
      </c>
      <c r="R340" s="1">
        <v>110</v>
      </c>
      <c r="S340" s="1">
        <v>110</v>
      </c>
      <c r="T340" s="1" t="s">
        <v>98</v>
      </c>
      <c r="V340" s="1" t="s">
        <v>165</v>
      </c>
      <c r="AC340" s="1" t="s">
        <v>84</v>
      </c>
      <c r="AF340" s="1" t="s">
        <v>166</v>
      </c>
      <c r="AH340" s="1" t="s">
        <v>167</v>
      </c>
      <c r="AI340" s="4">
        <v>44820</v>
      </c>
      <c r="AJ340" s="12" t="s">
        <v>163</v>
      </c>
      <c r="AM340" s="66" t="str">
        <f t="shared" si="5"/>
        <v>https://ensinoiptbr-my.sharepoint.com/personal/ericaugustin_ipt_br/Documents/Documentos/Prototipos/2023/Projeto Controle Ativos/SistemaAtivos2/:f:/s/ControledeAtivos/EqYqGTv-tLtPmS8RoQRLnm8BVcjV5fFmm_u3fWmarP_neQ?e=48sBgF</v>
      </c>
    </row>
    <row r="341" spans="1:39" ht="81" x14ac:dyDescent="0.35">
      <c r="A341" s="1" t="s">
        <v>26</v>
      </c>
      <c r="B341" s="1">
        <v>10</v>
      </c>
      <c r="C341" s="1" t="s">
        <v>114</v>
      </c>
      <c r="D341" s="1" t="s">
        <v>739</v>
      </c>
      <c r="E341" s="1" t="s">
        <v>146</v>
      </c>
      <c r="F341" s="1" t="s">
        <v>161</v>
      </c>
      <c r="H341" s="1" t="s">
        <v>162</v>
      </c>
      <c r="I341" s="1" t="s">
        <v>168</v>
      </c>
      <c r="J341" s="1" t="s">
        <v>164</v>
      </c>
      <c r="O341" s="1" t="s">
        <v>67</v>
      </c>
      <c r="P341" s="1">
        <v>200</v>
      </c>
      <c r="Q341" s="1" t="s">
        <v>97</v>
      </c>
      <c r="R341" s="1">
        <v>110</v>
      </c>
      <c r="S341" s="1">
        <v>110</v>
      </c>
      <c r="T341" s="1" t="s">
        <v>98</v>
      </c>
      <c r="V341" s="1" t="s">
        <v>165</v>
      </c>
      <c r="AC341" s="1" t="s">
        <v>84</v>
      </c>
      <c r="AD341" s="1" t="s">
        <v>72</v>
      </c>
      <c r="AE341" s="14" t="s">
        <v>169</v>
      </c>
      <c r="AF341" s="1" t="s">
        <v>170</v>
      </c>
      <c r="AH341" s="1" t="s">
        <v>75</v>
      </c>
      <c r="AI341" s="4">
        <v>44820</v>
      </c>
      <c r="AJ341" s="12" t="s">
        <v>168</v>
      </c>
      <c r="AM341" s="66" t="str">
        <f t="shared" si="5"/>
        <v>https://ensinoiptbr-my.sharepoint.com/personal/ericaugustin_ipt_br/Documents/Documentos/Prototipos/2023/Projeto Controle Ativos/SistemaAtivos2/:f:/s/ControledeAtivos/Eg3zSGIs1jVIm6r3KotG4x0BTXX8LUqmaYsDgHzc9dQbgA?e=MFlmdi</v>
      </c>
    </row>
    <row r="342" spans="1:39" ht="32.4" x14ac:dyDescent="0.35">
      <c r="A342" s="1" t="s">
        <v>26</v>
      </c>
      <c r="B342" s="1">
        <v>10</v>
      </c>
      <c r="C342" s="1" t="s">
        <v>88</v>
      </c>
      <c r="D342" s="1" t="s">
        <v>739</v>
      </c>
      <c r="F342" s="1" t="s">
        <v>171</v>
      </c>
      <c r="H342" s="1" t="s">
        <v>172</v>
      </c>
      <c r="I342" s="1" t="s">
        <v>173</v>
      </c>
      <c r="J342" s="1" t="s">
        <v>174</v>
      </c>
      <c r="O342" s="1" t="s">
        <v>67</v>
      </c>
      <c r="P342" s="1">
        <v>1</v>
      </c>
      <c r="Q342" s="1" t="s">
        <v>175</v>
      </c>
      <c r="R342" s="1">
        <v>220</v>
      </c>
      <c r="S342" s="1">
        <v>220</v>
      </c>
      <c r="T342" s="1" t="s">
        <v>69</v>
      </c>
      <c r="U342" s="1" t="s">
        <v>176</v>
      </c>
      <c r="V342" s="1">
        <v>4794</v>
      </c>
      <c r="AA342" s="1" t="s">
        <v>119</v>
      </c>
      <c r="AB342" s="4">
        <v>30682</v>
      </c>
      <c r="AC342" s="1" t="s">
        <v>84</v>
      </c>
      <c r="AD342" s="1" t="s">
        <v>72</v>
      </c>
      <c r="AE342" s="14" t="s">
        <v>177</v>
      </c>
      <c r="AF342" s="1" t="s">
        <v>178</v>
      </c>
      <c r="AH342" s="1" t="s">
        <v>75</v>
      </c>
      <c r="AI342" s="4">
        <v>44847</v>
      </c>
      <c r="AJ342" s="12" t="s">
        <v>173</v>
      </c>
      <c r="AM342" s="66" t="str">
        <f t="shared" si="5"/>
        <v>https://ensinoiptbr.sharepoint.com/:f:/s/ControledeAtivos/EmI5uhLiwCxKjwCSLwXnF8YBuMy_MOld0kuF4p8MkDKGhA?e=qWaNjH</v>
      </c>
    </row>
    <row r="343" spans="1:39" ht="57.6" x14ac:dyDescent="0.35">
      <c r="A343" s="1" t="s">
        <v>26</v>
      </c>
      <c r="B343" s="1">
        <v>10</v>
      </c>
      <c r="C343" s="1" t="s">
        <v>179</v>
      </c>
      <c r="D343" s="1" t="s">
        <v>739</v>
      </c>
      <c r="E343" s="1" t="s">
        <v>146</v>
      </c>
      <c r="F343" s="1" t="s">
        <v>180</v>
      </c>
      <c r="G343" s="1" t="s">
        <v>181</v>
      </c>
      <c r="H343" s="1" t="s">
        <v>182</v>
      </c>
      <c r="I343" s="1" t="s">
        <v>183</v>
      </c>
      <c r="J343" s="1" t="s">
        <v>181</v>
      </c>
      <c r="O343" s="1" t="s">
        <v>81</v>
      </c>
      <c r="R343" s="1">
        <v>115</v>
      </c>
      <c r="S343" s="1">
        <v>115</v>
      </c>
      <c r="V343" s="1" t="s">
        <v>184</v>
      </c>
      <c r="AA343" s="1" t="s">
        <v>119</v>
      </c>
      <c r="AB343" s="4">
        <v>40179</v>
      </c>
      <c r="AC343" s="1" t="s">
        <v>120</v>
      </c>
      <c r="AD343" s="1" t="s">
        <v>72</v>
      </c>
      <c r="AE343" s="14" t="s">
        <v>185</v>
      </c>
      <c r="AF343" s="1" t="s">
        <v>186</v>
      </c>
      <c r="AH343" s="1" t="s">
        <v>75</v>
      </c>
      <c r="AI343" s="4">
        <v>44834</v>
      </c>
      <c r="AJ343" s="12" t="s">
        <v>183</v>
      </c>
      <c r="AM343" s="66" t="str">
        <f t="shared" si="5"/>
        <v>https://ensinoiptbr.sharepoint.com/:f:/s/ControledeAtivos/EktE4sFspgBGlQ_sC0i8988ByyJgiufgFpiiySG89pePOA?e=dz78qh</v>
      </c>
    </row>
    <row r="344" spans="1:39" ht="81" x14ac:dyDescent="0.35">
      <c r="A344" s="1" t="s">
        <v>26</v>
      </c>
      <c r="B344" s="1">
        <v>10</v>
      </c>
      <c r="C344" s="1" t="s">
        <v>179</v>
      </c>
      <c r="D344" s="1" t="s">
        <v>739</v>
      </c>
      <c r="F344" s="1" t="s">
        <v>187</v>
      </c>
      <c r="H344" s="1" t="s">
        <v>182</v>
      </c>
      <c r="I344" s="60" t="s">
        <v>188</v>
      </c>
      <c r="J344" s="1" t="s">
        <v>189</v>
      </c>
      <c r="O344" s="1" t="s">
        <v>81</v>
      </c>
      <c r="P344" s="1">
        <v>100</v>
      </c>
      <c r="Q344" s="1" t="s">
        <v>97</v>
      </c>
      <c r="U344" s="1" t="s">
        <v>98</v>
      </c>
      <c r="V344" s="1" t="s">
        <v>190</v>
      </c>
      <c r="AA344" s="1" t="s">
        <v>100</v>
      </c>
      <c r="AB344" s="4">
        <v>31048</v>
      </c>
      <c r="AC344" s="1" t="s">
        <v>101</v>
      </c>
      <c r="AD344" s="1" t="s">
        <v>191</v>
      </c>
      <c r="AE344" s="14" t="s">
        <v>192</v>
      </c>
      <c r="AF344" s="1" t="s">
        <v>193</v>
      </c>
      <c r="AH344" s="1" t="s">
        <v>75</v>
      </c>
      <c r="AI344" s="4">
        <v>44827</v>
      </c>
      <c r="AJ344" s="64" t="s">
        <v>194</v>
      </c>
      <c r="AM344" s="66" t="str">
        <f t="shared" si="5"/>
        <v>https://ensinoiptbr-my.sharepoint.com/personal/ericaugustin_ipt_br/Documents/Documentos/Prototipos/2023/Projeto Controle Ativos/SistemaAtivos2/:f:/s/ControledeAtivos/EomyhGfazkxOouGxislYyKoBVFGPWDQcUJjX-yBz7qWg3A?e=z1NcsF</v>
      </c>
    </row>
    <row r="345" spans="1:39" ht="57.6" x14ac:dyDescent="0.35">
      <c r="A345" s="1" t="s">
        <v>26</v>
      </c>
      <c r="B345" s="1">
        <v>10</v>
      </c>
      <c r="C345" s="1" t="s">
        <v>195</v>
      </c>
      <c r="D345" s="1" t="s">
        <v>739</v>
      </c>
      <c r="F345" s="1" t="s">
        <v>196</v>
      </c>
      <c r="H345" s="1" t="s">
        <v>182</v>
      </c>
      <c r="I345" s="60" t="s">
        <v>194</v>
      </c>
      <c r="J345" s="1" t="s">
        <v>197</v>
      </c>
      <c r="O345" s="1" t="s">
        <v>81</v>
      </c>
      <c r="P345" s="1">
        <v>0.4</v>
      </c>
      <c r="Q345" s="1" t="s">
        <v>198</v>
      </c>
      <c r="R345" s="1">
        <v>110</v>
      </c>
      <c r="V345" s="1" t="s">
        <v>199</v>
      </c>
      <c r="AA345" s="1" t="s">
        <v>100</v>
      </c>
      <c r="AB345" s="4">
        <v>31048</v>
      </c>
      <c r="AC345" s="1" t="s">
        <v>101</v>
      </c>
      <c r="AD345" s="1" t="s">
        <v>72</v>
      </c>
      <c r="AE345" s="14" t="s">
        <v>200</v>
      </c>
      <c r="AF345" s="1" t="s">
        <v>193</v>
      </c>
      <c r="AH345" s="1" t="s">
        <v>75</v>
      </c>
      <c r="AI345" s="4">
        <v>44834</v>
      </c>
      <c r="AJ345" s="64" t="s">
        <v>201</v>
      </c>
      <c r="AM345" s="66" t="str">
        <f t="shared" si="5"/>
        <v>https://ensinoiptbr.sharepoint.com/:f:/s/ControledeAtivos/Epx1pDoB3nNLlgnKTbCt9QIB5ZJuvQUAGiTu0XH0_N2kRg?e=yR0nUN</v>
      </c>
    </row>
    <row r="346" spans="1:39" ht="57.6" x14ac:dyDescent="0.35">
      <c r="A346" s="1" t="s">
        <v>26</v>
      </c>
      <c r="B346" s="1">
        <v>10</v>
      </c>
      <c r="C346" s="1" t="s">
        <v>195</v>
      </c>
      <c r="D346" s="1" t="s">
        <v>739</v>
      </c>
      <c r="F346" s="1" t="s">
        <v>202</v>
      </c>
      <c r="H346" s="1" t="s">
        <v>182</v>
      </c>
      <c r="I346" s="60" t="s">
        <v>201</v>
      </c>
      <c r="J346" s="1" t="s">
        <v>197</v>
      </c>
      <c r="O346" s="1" t="s">
        <v>81</v>
      </c>
      <c r="P346" s="1">
        <v>3000</v>
      </c>
      <c r="Q346" s="1" t="s">
        <v>97</v>
      </c>
      <c r="V346" s="1" t="s">
        <v>203</v>
      </c>
      <c r="AA346" s="1" t="s">
        <v>100</v>
      </c>
      <c r="AB346" s="4">
        <v>31048</v>
      </c>
      <c r="AC346" s="1" t="s">
        <v>101</v>
      </c>
      <c r="AD346" s="1" t="s">
        <v>191</v>
      </c>
      <c r="AE346" s="14" t="s">
        <v>204</v>
      </c>
      <c r="AF346" s="1" t="s">
        <v>193</v>
      </c>
      <c r="AH346" s="1" t="s">
        <v>75</v>
      </c>
      <c r="AI346" s="4">
        <v>44834</v>
      </c>
      <c r="AJ346" s="64" t="s">
        <v>188</v>
      </c>
      <c r="AM346" s="66" t="str">
        <f t="shared" si="5"/>
        <v>https://ensinoiptbr.sharepoint.com/:f:/s/ControledeAtivos/Ell22eZ4SxRKkGLKLAG1yAEBZvHhPkJVBvGk3c4_nLQV8A?e=0oSiR5</v>
      </c>
    </row>
    <row r="347" spans="1:39" ht="81" x14ac:dyDescent="0.35">
      <c r="A347" s="1" t="s">
        <v>26</v>
      </c>
      <c r="B347" s="1">
        <v>10</v>
      </c>
      <c r="C347" s="1" t="s">
        <v>179</v>
      </c>
      <c r="D347" s="1" t="s">
        <v>739</v>
      </c>
      <c r="F347" s="1" t="s">
        <v>205</v>
      </c>
      <c r="H347" s="1" t="s">
        <v>206</v>
      </c>
      <c r="I347" s="1" t="s">
        <v>207</v>
      </c>
      <c r="J347" s="1" t="s">
        <v>208</v>
      </c>
      <c r="O347" s="1" t="s">
        <v>81</v>
      </c>
      <c r="R347" s="1">
        <v>110</v>
      </c>
      <c r="S347" s="1">
        <v>220</v>
      </c>
      <c r="V347" s="1">
        <v>500</v>
      </c>
      <c r="AA347" s="1" t="s">
        <v>119</v>
      </c>
      <c r="AC347" s="1" t="s">
        <v>120</v>
      </c>
      <c r="AD347" s="1" t="s">
        <v>72</v>
      </c>
      <c r="AE347" s="14" t="s">
        <v>209</v>
      </c>
      <c r="AF347" s="1" t="s">
        <v>210</v>
      </c>
      <c r="AH347" s="1" t="s">
        <v>112</v>
      </c>
      <c r="AI347" s="4">
        <v>44986</v>
      </c>
      <c r="AJ347" s="12" t="s">
        <v>207</v>
      </c>
      <c r="AM347" s="66" t="str">
        <f t="shared" si="5"/>
        <v>https://ensinoiptbr-my.sharepoint.com/personal/ericaugustin_ipt_br/Documents/Documentos/Prototipos/2023/Projeto Controle Ativos/SistemaAtivos2/:f:/s/ControledeAtivos/EocC3nzwdiRFmFIURjoCuX8Bv-BH-rO_wjtfqQ8qO_yyoA?e=PN7Mnu</v>
      </c>
    </row>
    <row r="348" spans="1:39" ht="81" x14ac:dyDescent="0.35">
      <c r="A348" s="1" t="s">
        <v>26</v>
      </c>
      <c r="B348" s="1">
        <v>10</v>
      </c>
      <c r="C348" s="1" t="s">
        <v>130</v>
      </c>
      <c r="D348" s="1" t="s">
        <v>739</v>
      </c>
      <c r="E348" s="1" t="s">
        <v>146</v>
      </c>
      <c r="F348" s="1" t="s">
        <v>205</v>
      </c>
      <c r="H348" s="1" t="s">
        <v>206</v>
      </c>
      <c r="I348" s="1" t="s">
        <v>211</v>
      </c>
      <c r="J348" s="1" t="s">
        <v>212</v>
      </c>
      <c r="O348" s="1" t="s">
        <v>135</v>
      </c>
      <c r="R348" s="1">
        <v>220</v>
      </c>
      <c r="S348" s="1">
        <v>220</v>
      </c>
      <c r="V348" s="1" t="s">
        <v>213</v>
      </c>
      <c r="AC348" s="1" t="s">
        <v>214</v>
      </c>
      <c r="AD348" s="1" t="s">
        <v>215</v>
      </c>
      <c r="AE348" s="14" t="s">
        <v>216</v>
      </c>
      <c r="AF348" s="1" t="s">
        <v>217</v>
      </c>
      <c r="AH348" s="1" t="s">
        <v>75</v>
      </c>
      <c r="AI348" s="4">
        <v>44820</v>
      </c>
      <c r="AJ348" s="12" t="s">
        <v>211</v>
      </c>
      <c r="AM348" s="66" t="str">
        <f t="shared" si="5"/>
        <v>https://ensinoiptbr-my.sharepoint.com/personal/ericaugustin_ipt_br/Documents/Documentos/Prototipos/2023/Projeto Controle Ativos/SistemaAtivos2/:f:/s/ControledeAtivos/Eo1_w9TWmgxCpR_32OvZl0gBkaD4RQ61s0n9CYgtQwH-Aw?e=9AbvB3</v>
      </c>
    </row>
    <row r="349" spans="1:39" ht="57.6" x14ac:dyDescent="0.35">
      <c r="A349" s="1" t="s">
        <v>26</v>
      </c>
      <c r="B349" s="1">
        <v>10</v>
      </c>
      <c r="C349" s="1" t="s">
        <v>179</v>
      </c>
      <c r="D349" s="1" t="s">
        <v>739</v>
      </c>
      <c r="F349" s="1" t="s">
        <v>218</v>
      </c>
      <c r="H349" s="1" t="s">
        <v>219</v>
      </c>
      <c r="I349" s="1" t="s">
        <v>220</v>
      </c>
      <c r="J349" s="1" t="s">
        <v>221</v>
      </c>
      <c r="O349" s="1" t="s">
        <v>81</v>
      </c>
      <c r="R349" s="1">
        <v>220</v>
      </c>
      <c r="S349" s="1">
        <v>220</v>
      </c>
      <c r="U349" s="1" t="s">
        <v>98</v>
      </c>
      <c r="V349" s="1" t="s">
        <v>222</v>
      </c>
      <c r="AA349" s="1" t="s">
        <v>83</v>
      </c>
      <c r="AB349" s="4">
        <v>30317</v>
      </c>
      <c r="AC349" s="1" t="s">
        <v>101</v>
      </c>
      <c r="AD349" s="1" t="s">
        <v>85</v>
      </c>
      <c r="AE349" s="14" t="s">
        <v>223</v>
      </c>
      <c r="AF349" s="1" t="s">
        <v>224</v>
      </c>
      <c r="AH349" s="1" t="s">
        <v>112</v>
      </c>
      <c r="AI349" s="4">
        <v>44834</v>
      </c>
      <c r="AJ349" s="12" t="s">
        <v>220</v>
      </c>
      <c r="AM349" s="66" t="str">
        <f t="shared" si="5"/>
        <v>https://ensinoiptbr.sharepoint.com/:f:/s/ControledeAtivos/En4MJa83nHhHmPGBLmVfrA8BmZvbox_88YzcVP_jUBhvaA?e=rGo6qe</v>
      </c>
    </row>
    <row r="350" spans="1:39" ht="57.6" x14ac:dyDescent="0.35">
      <c r="A350" s="1" t="s">
        <v>26</v>
      </c>
      <c r="B350" s="1">
        <v>10</v>
      </c>
      <c r="C350" s="1" t="s">
        <v>195</v>
      </c>
      <c r="D350" s="1" t="s">
        <v>739</v>
      </c>
      <c r="F350" s="1" t="s">
        <v>225</v>
      </c>
      <c r="H350" s="1" t="s">
        <v>226</v>
      </c>
      <c r="I350" s="1" t="s">
        <v>227</v>
      </c>
      <c r="J350" s="1" t="s">
        <v>228</v>
      </c>
      <c r="O350" s="1" t="s">
        <v>81</v>
      </c>
      <c r="P350" s="1">
        <v>400</v>
      </c>
      <c r="Q350" s="1" t="s">
        <v>97</v>
      </c>
      <c r="R350" s="1">
        <v>220</v>
      </c>
      <c r="S350" s="1">
        <v>220</v>
      </c>
      <c r="U350" s="1" t="s">
        <v>69</v>
      </c>
      <c r="V350" s="1" t="s">
        <v>229</v>
      </c>
      <c r="AA350" s="1" t="s">
        <v>100</v>
      </c>
      <c r="AC350" s="1" t="s">
        <v>101</v>
      </c>
      <c r="AD350" s="1" t="s">
        <v>72</v>
      </c>
      <c r="AE350" s="14" t="s">
        <v>230</v>
      </c>
      <c r="AF350" s="1" t="s">
        <v>231</v>
      </c>
      <c r="AH350" s="1" t="s">
        <v>75</v>
      </c>
      <c r="AI350" s="4">
        <v>44834</v>
      </c>
      <c r="AJ350" s="12" t="s">
        <v>227</v>
      </c>
      <c r="AM350" s="66" t="str">
        <f t="shared" si="5"/>
        <v>https://ensinoiptbr.sharepoint.com/:f:/s/ControledeAtivos/EhiX-POW64dGpEE-Vh-2uYABrf8epNsv6x9-WbqzULr7lw?e=hGa2WI</v>
      </c>
    </row>
    <row r="351" spans="1:39" ht="57.6" x14ac:dyDescent="0.35">
      <c r="A351" s="1" t="s">
        <v>26</v>
      </c>
      <c r="B351" s="1">
        <v>10</v>
      </c>
      <c r="C351" s="1" t="s">
        <v>195</v>
      </c>
      <c r="D351" s="1" t="s">
        <v>739</v>
      </c>
      <c r="F351" s="1" t="s">
        <v>232</v>
      </c>
      <c r="H351" s="1" t="s">
        <v>226</v>
      </c>
      <c r="I351" s="1" t="s">
        <v>233</v>
      </c>
      <c r="J351" s="1" t="s">
        <v>80</v>
      </c>
      <c r="O351" s="1" t="s">
        <v>234</v>
      </c>
      <c r="P351" s="16">
        <v>0.25</v>
      </c>
      <c r="Q351" s="1" t="s">
        <v>235</v>
      </c>
      <c r="R351" s="1">
        <v>220</v>
      </c>
      <c r="S351" s="1">
        <v>220</v>
      </c>
      <c r="U351" s="1" t="s">
        <v>98</v>
      </c>
      <c r="V351" s="1" t="s">
        <v>236</v>
      </c>
      <c r="W351" s="1">
        <v>1145</v>
      </c>
      <c r="X351" s="1" t="s">
        <v>237</v>
      </c>
      <c r="AA351" s="1" t="s">
        <v>83</v>
      </c>
      <c r="AB351" s="4">
        <v>24838</v>
      </c>
      <c r="AC351" s="1" t="s">
        <v>84</v>
      </c>
      <c r="AD351" s="1" t="s">
        <v>72</v>
      </c>
      <c r="AE351" s="14" t="s">
        <v>238</v>
      </c>
      <c r="AF351" s="1" t="s">
        <v>239</v>
      </c>
      <c r="AH351" s="1" t="s">
        <v>75</v>
      </c>
      <c r="AI351" s="4">
        <v>44834</v>
      </c>
      <c r="AJ351" s="12" t="s">
        <v>233</v>
      </c>
      <c r="AM351" s="66" t="str">
        <f t="shared" si="5"/>
        <v>https://ensinoiptbr.sharepoint.com/:f:/s/ControledeAtivos/Et5-fJ8JQ7NOjryOSNVe8GEBOUzhnKXcqKMyLNaCe9cl1A?e=fVfzAT</v>
      </c>
    </row>
    <row r="352" spans="1:39" ht="57.6" x14ac:dyDescent="0.35">
      <c r="A352" s="1" t="s">
        <v>26</v>
      </c>
      <c r="B352" s="1">
        <v>10</v>
      </c>
      <c r="C352" s="1" t="s">
        <v>195</v>
      </c>
      <c r="D352" s="1" t="s">
        <v>739</v>
      </c>
      <c r="F352" s="1" t="s">
        <v>240</v>
      </c>
      <c r="H352" s="1" t="s">
        <v>226</v>
      </c>
      <c r="I352" s="1" t="s">
        <v>241</v>
      </c>
      <c r="J352" s="1" t="s">
        <v>242</v>
      </c>
      <c r="O352" s="1" t="s">
        <v>81</v>
      </c>
      <c r="V352" s="1" t="s">
        <v>243</v>
      </c>
      <c r="AC352" s="1" t="s">
        <v>84</v>
      </c>
      <c r="AD352" s="1" t="s">
        <v>72</v>
      </c>
      <c r="AE352" s="14" t="s">
        <v>244</v>
      </c>
      <c r="AF352" s="1" t="s">
        <v>239</v>
      </c>
      <c r="AH352" s="1" t="s">
        <v>75</v>
      </c>
      <c r="AI352" s="4">
        <v>44834</v>
      </c>
      <c r="AJ352" s="12" t="s">
        <v>241</v>
      </c>
      <c r="AM352" s="66" t="str">
        <f t="shared" si="5"/>
        <v>https://ensinoiptbr.sharepoint.com/:f:/s/ControledeAtivos/Ev0J0xqNAaZCg-Vjz3El9LUBTsMtL5DsGIGqilqS5BJcTA?e=yH7R4p</v>
      </c>
    </row>
    <row r="353" spans="1:39" ht="43.2" x14ac:dyDescent="0.35">
      <c r="A353" s="1" t="s">
        <v>26</v>
      </c>
      <c r="B353" s="1">
        <v>10</v>
      </c>
      <c r="C353" s="1" t="s">
        <v>62</v>
      </c>
      <c r="D353" s="1" t="s">
        <v>739</v>
      </c>
      <c r="F353" s="1" t="s">
        <v>245</v>
      </c>
      <c r="H353" s="1" t="s">
        <v>246</v>
      </c>
      <c r="I353" s="1" t="s">
        <v>247</v>
      </c>
      <c r="J353" s="1" t="s">
        <v>248</v>
      </c>
      <c r="O353" s="1" t="s">
        <v>67</v>
      </c>
      <c r="P353" s="1">
        <v>89.5</v>
      </c>
      <c r="Q353" s="1" t="s">
        <v>68</v>
      </c>
      <c r="AD353" s="1" t="s">
        <v>72</v>
      </c>
      <c r="AE353" s="14" t="s">
        <v>249</v>
      </c>
      <c r="AF353" s="1" t="s">
        <v>250</v>
      </c>
      <c r="AH353" s="1" t="s">
        <v>75</v>
      </c>
      <c r="AI353" s="4">
        <v>44847</v>
      </c>
      <c r="AJ353" s="12" t="s">
        <v>247</v>
      </c>
      <c r="AM353" s="66" t="str">
        <f t="shared" si="5"/>
        <v>https://ensinoiptbr.sharepoint.com/:f:/s/ControledeAtivos/EtMYmxieu-JHs48lt4qcqxIB-sW4YLrYGlmK7Rk1GXSV4Q?e=5lDKvk</v>
      </c>
    </row>
    <row r="354" spans="1:39" ht="81" x14ac:dyDescent="0.35">
      <c r="A354" s="1" t="s">
        <v>26</v>
      </c>
      <c r="B354" s="1">
        <v>10</v>
      </c>
      <c r="C354" s="1" t="s">
        <v>251</v>
      </c>
      <c r="D354" s="1" t="s">
        <v>739</v>
      </c>
      <c r="F354" s="1" t="s">
        <v>252</v>
      </c>
      <c r="H354" s="1" t="s">
        <v>253</v>
      </c>
      <c r="I354" s="1" t="s">
        <v>254</v>
      </c>
      <c r="J354" s="1" t="s">
        <v>255</v>
      </c>
      <c r="O354" s="1" t="s">
        <v>234</v>
      </c>
      <c r="P354" s="1">
        <v>112</v>
      </c>
      <c r="Q354" s="1" t="s">
        <v>97</v>
      </c>
      <c r="R354" s="1">
        <v>127</v>
      </c>
      <c r="V354" s="1" t="s">
        <v>256</v>
      </c>
      <c r="AA354" s="1" t="s">
        <v>119</v>
      </c>
      <c r="AC354" s="1" t="s">
        <v>151</v>
      </c>
      <c r="AE354" s="14">
        <v>3909</v>
      </c>
      <c r="AF354" s="1" t="s">
        <v>257</v>
      </c>
      <c r="AH354" s="1" t="s">
        <v>258</v>
      </c>
      <c r="AI354" s="4">
        <v>44813</v>
      </c>
      <c r="AJ354" s="12" t="s">
        <v>254</v>
      </c>
      <c r="AM354" s="66" t="str">
        <f t="shared" si="5"/>
        <v>https://ensinoiptbr-my.sharepoint.com/personal/ericaugustin_ipt_br/Documents/Documentos/Prototipos/2023/Projeto Controle Ativos/SistemaAtivos2/:f:/s/ControledeAtivos/ErwEEzzhWhdMmGpPZQ14dAoBCHr4jo1zo2WidCCGsV8ejQ?e=O6Mfur</v>
      </c>
    </row>
    <row r="355" spans="1:39" ht="32.4" x14ac:dyDescent="0.35">
      <c r="A355" s="1" t="s">
        <v>26</v>
      </c>
      <c r="B355" s="1">
        <v>10</v>
      </c>
      <c r="C355" s="1" t="s">
        <v>88</v>
      </c>
      <c r="D355" s="1" t="s">
        <v>739</v>
      </c>
      <c r="F355" s="1" t="s">
        <v>106</v>
      </c>
      <c r="H355" s="1" t="s">
        <v>106</v>
      </c>
      <c r="I355" s="1" t="s">
        <v>268</v>
      </c>
      <c r="J355" s="1" t="s">
        <v>269</v>
      </c>
      <c r="O355" s="1" t="s">
        <v>67</v>
      </c>
      <c r="P355" s="5">
        <v>3</v>
      </c>
      <c r="Q355" s="5" t="s">
        <v>235</v>
      </c>
      <c r="R355" s="1">
        <v>220</v>
      </c>
      <c r="S355" s="1">
        <v>220</v>
      </c>
      <c r="T355" s="1" t="s">
        <v>69</v>
      </c>
      <c r="V355" s="1">
        <v>3030</v>
      </c>
      <c r="W355" s="1">
        <v>1750</v>
      </c>
      <c r="X355" s="1" t="s">
        <v>237</v>
      </c>
      <c r="AA355" s="1" t="s">
        <v>119</v>
      </c>
      <c r="AB355" s="4">
        <v>27760</v>
      </c>
      <c r="AC355" s="1" t="s">
        <v>84</v>
      </c>
      <c r="AD355" s="1" t="s">
        <v>72</v>
      </c>
      <c r="AE355" s="14" t="s">
        <v>270</v>
      </c>
      <c r="AF355" s="1" t="s">
        <v>271</v>
      </c>
      <c r="AH355" s="1" t="s">
        <v>75</v>
      </c>
      <c r="AI355" s="4">
        <v>44837</v>
      </c>
      <c r="AJ355" s="12" t="s">
        <v>268</v>
      </c>
      <c r="AM355" s="66" t="str">
        <f t="shared" si="5"/>
        <v>https://ensinoiptbr.sharepoint.com/:f:/s/ControledeAtivos/EitOLnFZfppFq7NvL70MiX8BF3B_kmo9NGLED3Y4IlhvoQ?e=boUF7e</v>
      </c>
    </row>
    <row r="356" spans="1:39" ht="81" x14ac:dyDescent="0.35">
      <c r="A356" s="1" t="s">
        <v>26</v>
      </c>
      <c r="B356" s="1">
        <v>10</v>
      </c>
      <c r="C356" s="1" t="s">
        <v>105</v>
      </c>
      <c r="D356" s="1" t="s">
        <v>739</v>
      </c>
      <c r="F356" s="1" t="s">
        <v>272</v>
      </c>
      <c r="H356" s="1" t="s">
        <v>273</v>
      </c>
      <c r="I356" s="1" t="s">
        <v>274</v>
      </c>
      <c r="J356" s="1" t="s">
        <v>275</v>
      </c>
      <c r="O356" s="1" t="s">
        <v>109</v>
      </c>
      <c r="P356" s="5">
        <v>5</v>
      </c>
      <c r="Q356" s="5" t="s">
        <v>235</v>
      </c>
      <c r="R356" s="1">
        <v>220</v>
      </c>
      <c r="V356" s="1" t="s">
        <v>276</v>
      </c>
      <c r="AA356" s="1" t="s">
        <v>119</v>
      </c>
      <c r="AB356" s="4">
        <v>27395</v>
      </c>
      <c r="AC356" s="1" t="s">
        <v>84</v>
      </c>
      <c r="AD356" s="1" t="s">
        <v>72</v>
      </c>
      <c r="AE356" s="14" t="s">
        <v>277</v>
      </c>
      <c r="AF356" s="1" t="s">
        <v>278</v>
      </c>
      <c r="AH356" s="1" t="s">
        <v>75</v>
      </c>
      <c r="AI356" s="4">
        <v>44820</v>
      </c>
      <c r="AJ356" s="12" t="s">
        <v>279</v>
      </c>
      <c r="AM356" s="66" t="str">
        <f t="shared" si="5"/>
        <v>https://ensinoiptbr-my.sharepoint.com/personal/ericaugustin_ipt_br/Documents/Documentos/Prototipos/2023/Projeto Controle Ativos/SistemaAtivos2/:f:/s/ControledeAtivos/Erw5WU0Nqb9Aps3KtLgTMNUB0i5o4QAFklQ4iFMVFA3b4A?e=eDDGdv</v>
      </c>
    </row>
    <row r="357" spans="1:39" s="43" customFormat="1" ht="81" x14ac:dyDescent="0.35">
      <c r="A357" s="1" t="s">
        <v>26</v>
      </c>
      <c r="B357" s="1">
        <v>10</v>
      </c>
      <c r="C357" s="1" t="s">
        <v>105</v>
      </c>
      <c r="D357" s="1" t="s">
        <v>739</v>
      </c>
      <c r="E357" s="1"/>
      <c r="F357" s="1" t="s">
        <v>280</v>
      </c>
      <c r="G357" s="1"/>
      <c r="H357" s="1" t="s">
        <v>273</v>
      </c>
      <c r="I357" s="1" t="s">
        <v>281</v>
      </c>
      <c r="J357" s="1" t="s">
        <v>282</v>
      </c>
      <c r="K357" s="1"/>
      <c r="L357" s="68"/>
      <c r="M357" s="1"/>
      <c r="N357" s="1"/>
      <c r="O357" s="1" t="s">
        <v>109</v>
      </c>
      <c r="P357" s="1"/>
      <c r="Q357" s="1"/>
      <c r="R357" s="1">
        <v>220</v>
      </c>
      <c r="S357" s="1">
        <v>220</v>
      </c>
      <c r="T357" s="1"/>
      <c r="U357" s="1"/>
      <c r="V357" s="9" t="s">
        <v>283</v>
      </c>
      <c r="W357" s="7"/>
      <c r="X357" s="7"/>
      <c r="Y357" s="7"/>
      <c r="Z357" s="7"/>
      <c r="AA357" s="7" t="s">
        <v>100</v>
      </c>
      <c r="AB357" s="79">
        <v>43466</v>
      </c>
      <c r="AC357" s="7" t="s">
        <v>284</v>
      </c>
      <c r="AD357" s="7" t="s">
        <v>215</v>
      </c>
      <c r="AE357" s="15" t="s">
        <v>285</v>
      </c>
      <c r="AF357" s="7" t="s">
        <v>286</v>
      </c>
      <c r="AG357" s="1"/>
      <c r="AH357" s="1" t="s">
        <v>75</v>
      </c>
      <c r="AI357" s="4">
        <v>44820</v>
      </c>
      <c r="AJ357" s="12" t="s">
        <v>281</v>
      </c>
      <c r="AK357" s="2"/>
      <c r="AM357" s="66" t="str">
        <f t="shared" si="5"/>
        <v>https://ensinoiptbr-my.sharepoint.com/personal/ericaugustin_ipt_br/Documents/Documentos/Prototipos/2023/Projeto Controle Ativos/SistemaAtivos2/:f:/s/ControledeAtivos/El-yFQeK7OJCrbQrY-IHpa0B1kS-EAFw5Si1k5wn14GUIQ?e=C7QE0N</v>
      </c>
    </row>
    <row r="358" spans="1:39" ht="43.2" x14ac:dyDescent="0.35">
      <c r="A358" s="1" t="s">
        <v>26</v>
      </c>
      <c r="B358" s="1">
        <v>10</v>
      </c>
      <c r="C358" s="1" t="s">
        <v>114</v>
      </c>
      <c r="D358" s="1" t="s">
        <v>739</v>
      </c>
      <c r="F358" s="1" t="s">
        <v>287</v>
      </c>
      <c r="H358" s="1" t="s">
        <v>288</v>
      </c>
      <c r="I358" s="1" t="s">
        <v>289</v>
      </c>
      <c r="J358" s="1" t="s">
        <v>290</v>
      </c>
      <c r="O358" s="1" t="s">
        <v>67</v>
      </c>
      <c r="P358" s="5">
        <v>350</v>
      </c>
      <c r="Q358" s="5" t="s">
        <v>291</v>
      </c>
      <c r="R358" s="1">
        <v>220</v>
      </c>
      <c r="S358" s="1">
        <v>220</v>
      </c>
      <c r="V358" s="9" t="s">
        <v>292</v>
      </c>
      <c r="W358" s="7"/>
      <c r="X358" s="7"/>
      <c r="Y358" s="7"/>
      <c r="Z358" s="7"/>
      <c r="AA358" s="7"/>
      <c r="AB358" s="79">
        <v>39814</v>
      </c>
      <c r="AC358" s="7" t="s">
        <v>84</v>
      </c>
      <c r="AD358" s="7" t="s">
        <v>72</v>
      </c>
      <c r="AE358" s="15" t="s">
        <v>293</v>
      </c>
      <c r="AF358" s="7" t="s">
        <v>294</v>
      </c>
      <c r="AH358" s="1" t="s">
        <v>75</v>
      </c>
      <c r="AI358" s="4">
        <v>44847</v>
      </c>
      <c r="AJ358" s="12" t="s">
        <v>289</v>
      </c>
      <c r="AM358" s="66" t="str">
        <f t="shared" si="5"/>
        <v>https://ensinoiptbr.sharepoint.com/:f:/s/ControledeAtivos/EnI71H_nIIJNnwKT45_1g58BASNaw6iz5KOEbrGykzldFg?e=fFTz15</v>
      </c>
    </row>
    <row r="359" spans="1:39" ht="32.4" x14ac:dyDescent="0.35">
      <c r="A359" s="1" t="s">
        <v>26</v>
      </c>
      <c r="B359" s="1">
        <v>10</v>
      </c>
      <c r="C359" s="1" t="s">
        <v>77</v>
      </c>
      <c r="D359" s="1" t="s">
        <v>739</v>
      </c>
      <c r="F359" s="1" t="s">
        <v>295</v>
      </c>
      <c r="H359" s="1" t="s">
        <v>288</v>
      </c>
      <c r="I359" s="1" t="s">
        <v>296</v>
      </c>
      <c r="J359" s="1" t="s">
        <v>2590</v>
      </c>
      <c r="O359" s="1" t="s">
        <v>81</v>
      </c>
      <c r="R359" s="1">
        <v>220</v>
      </c>
      <c r="S359" s="1">
        <v>220</v>
      </c>
      <c r="T359" s="1" t="s">
        <v>69</v>
      </c>
      <c r="V359" s="9"/>
      <c r="W359" s="7"/>
      <c r="X359" s="7"/>
      <c r="Y359" s="7"/>
      <c r="Z359" s="7"/>
      <c r="AA359" s="7"/>
      <c r="AB359" s="79"/>
      <c r="AC359" s="7"/>
      <c r="AD359" s="7"/>
      <c r="AE359" s="15"/>
      <c r="AF359" s="7" t="s">
        <v>297</v>
      </c>
      <c r="AH359" s="1" t="s">
        <v>112</v>
      </c>
      <c r="AI359" s="4">
        <v>44986</v>
      </c>
      <c r="AJ359" s="87" t="s">
        <v>296</v>
      </c>
      <c r="AK359" s="2" t="s">
        <v>298</v>
      </c>
      <c r="AM359" s="66" t="str">
        <f t="shared" si="5"/>
        <v>https://ensinoiptbr.sharepoint.com/:f:/s/ControledeAtivos/EknW1KSI-lRIgVeOLxr-gcAB5DXVon8FFm7xpeJ6uUX_GA?e=bKhB1v</v>
      </c>
    </row>
    <row r="360" spans="1:39" s="6" customFormat="1" ht="32.4" x14ac:dyDescent="0.35">
      <c r="A360" s="1" t="s">
        <v>26</v>
      </c>
      <c r="B360" s="1">
        <v>10</v>
      </c>
      <c r="C360" s="1" t="s">
        <v>77</v>
      </c>
      <c r="D360" s="1" t="s">
        <v>739</v>
      </c>
      <c r="E360" s="1"/>
      <c r="F360" s="1" t="s">
        <v>299</v>
      </c>
      <c r="G360" s="1"/>
      <c r="H360" s="1" t="s">
        <v>288</v>
      </c>
      <c r="I360" s="1" t="s">
        <v>300</v>
      </c>
      <c r="J360" s="1" t="s">
        <v>214</v>
      </c>
      <c r="K360" s="1"/>
      <c r="L360" s="68"/>
      <c r="M360" s="1"/>
      <c r="N360" s="1"/>
      <c r="O360" s="1" t="s">
        <v>81</v>
      </c>
      <c r="P360" s="1">
        <v>1.5</v>
      </c>
      <c r="Q360" s="1" t="s">
        <v>198</v>
      </c>
      <c r="R360" s="1">
        <v>220</v>
      </c>
      <c r="S360" s="1">
        <v>220</v>
      </c>
      <c r="T360" s="1" t="s">
        <v>69</v>
      </c>
      <c r="U360" s="1"/>
      <c r="V360" s="9"/>
      <c r="W360" s="7"/>
      <c r="X360" s="7"/>
      <c r="Y360" s="7"/>
      <c r="Z360" s="7"/>
      <c r="AA360" s="7" t="s">
        <v>119</v>
      </c>
      <c r="AB360" s="79"/>
      <c r="AC360" s="7" t="s">
        <v>84</v>
      </c>
      <c r="AD360" s="7" t="s">
        <v>72</v>
      </c>
      <c r="AE360" s="15" t="s">
        <v>301</v>
      </c>
      <c r="AF360" s="7" t="s">
        <v>302</v>
      </c>
      <c r="AG360" s="1"/>
      <c r="AH360" s="1" t="s">
        <v>75</v>
      </c>
      <c r="AI360" s="4">
        <v>44847</v>
      </c>
      <c r="AJ360" s="87" t="s">
        <v>300</v>
      </c>
      <c r="AK360" s="2"/>
      <c r="AM360" s="66" t="str">
        <f t="shared" si="5"/>
        <v>https://ensinoiptbr.sharepoint.com/:f:/s/ControledeAtivos/EueM6_5MOsJJmdmH_O3ceWwBCSjQk603oRi8YEWLNfm--A?e=Mfa3jS</v>
      </c>
    </row>
    <row r="361" spans="1:39" s="8" customFormat="1" ht="32.4" x14ac:dyDescent="0.35">
      <c r="A361" s="1" t="s">
        <v>26</v>
      </c>
      <c r="B361" s="1">
        <v>10</v>
      </c>
      <c r="C361" s="1" t="s">
        <v>77</v>
      </c>
      <c r="D361" s="1" t="s">
        <v>739</v>
      </c>
      <c r="E361" s="1"/>
      <c r="F361" s="1" t="s">
        <v>303</v>
      </c>
      <c r="G361" s="1"/>
      <c r="H361" s="1" t="s">
        <v>288</v>
      </c>
      <c r="I361" s="1" t="s">
        <v>304</v>
      </c>
      <c r="J361" s="1" t="s">
        <v>2590</v>
      </c>
      <c r="K361" s="1"/>
      <c r="L361" s="68"/>
      <c r="M361" s="1"/>
      <c r="N361" s="1"/>
      <c r="O361" s="1" t="s">
        <v>81</v>
      </c>
      <c r="P361" s="1"/>
      <c r="Q361" s="1"/>
      <c r="R361" s="1">
        <v>220</v>
      </c>
      <c r="S361" s="1">
        <v>220</v>
      </c>
      <c r="T361" s="1" t="s">
        <v>69</v>
      </c>
      <c r="U361" s="1"/>
      <c r="V361" s="9"/>
      <c r="W361" s="7"/>
      <c r="X361" s="7"/>
      <c r="Y361" s="7"/>
      <c r="Z361" s="7"/>
      <c r="AA361" s="7"/>
      <c r="AB361" s="79"/>
      <c r="AC361" s="7"/>
      <c r="AD361" s="7" t="s">
        <v>72</v>
      </c>
      <c r="AE361" s="15" t="s">
        <v>305</v>
      </c>
      <c r="AF361" s="7" t="s">
        <v>302</v>
      </c>
      <c r="AG361" s="1"/>
      <c r="AH361" s="1" t="s">
        <v>75</v>
      </c>
      <c r="AI361" s="4">
        <v>44847</v>
      </c>
      <c r="AJ361" s="87" t="s">
        <v>304</v>
      </c>
      <c r="AK361" s="2"/>
      <c r="AM361" s="66" t="str">
        <f t="shared" si="5"/>
        <v>https://ensinoiptbr.sharepoint.com/:f:/s/ControledeAtivos/EryB5w2P4mpJjRoGMoxUCe8BrG9vqrlCSN4B1SnPmPCyzw?e=UzVDqu</v>
      </c>
    </row>
    <row r="362" spans="1:39" ht="32.4" x14ac:dyDescent="0.35">
      <c r="A362" s="1" t="s">
        <v>26</v>
      </c>
      <c r="B362" s="1">
        <v>10</v>
      </c>
      <c r="C362" s="1" t="s">
        <v>88</v>
      </c>
      <c r="D362" s="1" t="s">
        <v>739</v>
      </c>
      <c r="F362" s="1" t="s">
        <v>306</v>
      </c>
      <c r="H362" s="1" t="s">
        <v>288</v>
      </c>
      <c r="I362" s="1" t="s">
        <v>307</v>
      </c>
      <c r="J362" s="1" t="s">
        <v>308</v>
      </c>
      <c r="O362" s="1" t="s">
        <v>67</v>
      </c>
      <c r="R362" s="1">
        <v>220</v>
      </c>
      <c r="S362" s="1">
        <v>220</v>
      </c>
      <c r="V362" s="9" t="s">
        <v>309</v>
      </c>
      <c r="W362" s="7"/>
      <c r="X362" s="7"/>
      <c r="Y362" s="7"/>
      <c r="Z362" s="7"/>
      <c r="AA362" s="7" t="s">
        <v>119</v>
      </c>
      <c r="AB362" s="79">
        <v>39814</v>
      </c>
      <c r="AC362" s="7" t="s">
        <v>120</v>
      </c>
      <c r="AD362" s="7" t="s">
        <v>72</v>
      </c>
      <c r="AE362" s="15"/>
      <c r="AF362" s="7" t="s">
        <v>310</v>
      </c>
      <c r="AH362" s="1" t="s">
        <v>75</v>
      </c>
      <c r="AI362" s="4">
        <v>44834</v>
      </c>
      <c r="AJ362" s="87" t="s">
        <v>307</v>
      </c>
      <c r="AM362" s="66" t="str">
        <f t="shared" si="5"/>
        <v>https://ensinoiptbr.sharepoint.com/:f:/s/ControledeAtivos/Elf1fqUKjDBLruOhdMrr97IB99i_qAaaZid3txAL8RN_EA?e=Cx1NfQ</v>
      </c>
    </row>
    <row r="363" spans="1:39" s="8" customFormat="1" ht="32.4" x14ac:dyDescent="0.35">
      <c r="A363" s="1" t="s">
        <v>26</v>
      </c>
      <c r="B363" s="1">
        <v>10</v>
      </c>
      <c r="C363" s="1" t="s">
        <v>124</v>
      </c>
      <c r="D363" s="1" t="s">
        <v>739</v>
      </c>
      <c r="E363" s="1"/>
      <c r="F363" s="1" t="s">
        <v>311</v>
      </c>
      <c r="G363" s="1"/>
      <c r="H363" s="1" t="s">
        <v>288</v>
      </c>
      <c r="I363" s="1" t="s">
        <v>312</v>
      </c>
      <c r="J363" s="1" t="s">
        <v>313</v>
      </c>
      <c r="K363" s="1"/>
      <c r="L363" s="68"/>
      <c r="M363" s="1"/>
      <c r="N363" s="1"/>
      <c r="O363" s="1" t="s">
        <v>109</v>
      </c>
      <c r="P363" s="1">
        <v>0.2</v>
      </c>
      <c r="Q363" s="1" t="s">
        <v>198</v>
      </c>
      <c r="R363" s="1">
        <v>110</v>
      </c>
      <c r="S363" s="1">
        <v>110</v>
      </c>
      <c r="T363" s="1"/>
      <c r="U363" s="1" t="s">
        <v>98</v>
      </c>
      <c r="V363" s="9" t="s">
        <v>314</v>
      </c>
      <c r="W363" s="7"/>
      <c r="X363" s="1"/>
      <c r="Y363" s="1"/>
      <c r="Z363" s="1"/>
      <c r="AA363" s="1" t="s">
        <v>100</v>
      </c>
      <c r="AB363" s="79"/>
      <c r="AC363" s="7" t="s">
        <v>101</v>
      </c>
      <c r="AD363" s="7" t="s">
        <v>72</v>
      </c>
      <c r="AE363" s="15" t="s">
        <v>315</v>
      </c>
      <c r="AF363" s="7" t="s">
        <v>316</v>
      </c>
      <c r="AG363" s="1"/>
      <c r="AH363" s="1" t="s">
        <v>75</v>
      </c>
      <c r="AI363" s="4">
        <v>44834</v>
      </c>
      <c r="AJ363" s="12" t="s">
        <v>312</v>
      </c>
      <c r="AK363" s="2"/>
      <c r="AM363" s="66" t="str">
        <f t="shared" si="5"/>
        <v>https://ensinoiptbr.sharepoint.com/:f:/s/ControledeAtivos/EhQnEokHWh9DkNfy6hU6erABEK6t-fcINfa-y6dS51NHIg?e=8jjfw5</v>
      </c>
    </row>
    <row r="364" spans="1:39" ht="81" x14ac:dyDescent="0.35">
      <c r="A364" s="1" t="s">
        <v>26</v>
      </c>
      <c r="B364" s="1">
        <v>10</v>
      </c>
      <c r="C364" s="1" t="s">
        <v>130</v>
      </c>
      <c r="D364" s="1" t="s">
        <v>739</v>
      </c>
      <c r="E364" s="1" t="s">
        <v>146</v>
      </c>
      <c r="F364" s="1" t="s">
        <v>317</v>
      </c>
      <c r="H364" s="1" t="s">
        <v>318</v>
      </c>
      <c r="I364" s="1" t="s">
        <v>319</v>
      </c>
      <c r="J364" s="1" t="s">
        <v>320</v>
      </c>
      <c r="O364" s="1" t="s">
        <v>135</v>
      </c>
      <c r="P364" s="1">
        <v>2.5</v>
      </c>
      <c r="Q364" s="1" t="s">
        <v>321</v>
      </c>
      <c r="R364" s="1">
        <v>110</v>
      </c>
      <c r="S364" s="1">
        <v>240</v>
      </c>
      <c r="V364" s="9" t="s">
        <v>322</v>
      </c>
      <c r="AA364" s="7"/>
      <c r="AC364" s="1" t="s">
        <v>151</v>
      </c>
      <c r="AD364" s="1" t="s">
        <v>72</v>
      </c>
      <c r="AE364" s="14" t="s">
        <v>323</v>
      </c>
      <c r="AF364" s="7" t="s">
        <v>324</v>
      </c>
      <c r="AH364" s="1" t="s">
        <v>75</v>
      </c>
      <c r="AI364" s="4">
        <v>44820</v>
      </c>
      <c r="AJ364" s="12" t="s">
        <v>319</v>
      </c>
      <c r="AM364" s="66" t="str">
        <f t="shared" si="5"/>
        <v>https://ensinoiptbr-my.sharepoint.com/personal/ericaugustin_ipt_br/Documents/Documentos/Prototipos/2023/Projeto Controle Ativos/SistemaAtivos2/:f:/s/ControledeAtivos/EjYIFC7oTWtHmNltbjEi484B8exO6LDYDsJWlcxvoymoeQ?e=kuntra</v>
      </c>
    </row>
    <row r="365" spans="1:39" ht="81" x14ac:dyDescent="0.35">
      <c r="A365" s="1" t="s">
        <v>26</v>
      </c>
      <c r="B365" s="1">
        <v>10</v>
      </c>
      <c r="C365" s="1" t="s">
        <v>325</v>
      </c>
      <c r="D365" s="1" t="s">
        <v>739</v>
      </c>
      <c r="E365" s="1" t="s">
        <v>146</v>
      </c>
      <c r="F365" s="1" t="s">
        <v>326</v>
      </c>
      <c r="H365" s="1" t="s">
        <v>327</v>
      </c>
      <c r="I365" s="1" t="s">
        <v>328</v>
      </c>
      <c r="J365" s="1" t="s">
        <v>329</v>
      </c>
      <c r="O365" s="1" t="s">
        <v>135</v>
      </c>
      <c r="P365" s="1">
        <v>9</v>
      </c>
      <c r="Q365" s="1" t="s">
        <v>97</v>
      </c>
      <c r="R365" s="1">
        <v>110</v>
      </c>
      <c r="U365" s="1" t="s">
        <v>330</v>
      </c>
      <c r="V365" s="1" t="s">
        <v>331</v>
      </c>
      <c r="AE365" s="14">
        <v>3910</v>
      </c>
      <c r="AF365" s="7" t="s">
        <v>332</v>
      </c>
      <c r="AH365" s="1" t="s">
        <v>333</v>
      </c>
      <c r="AI365" s="4">
        <v>44813</v>
      </c>
      <c r="AJ365" s="12" t="s">
        <v>328</v>
      </c>
      <c r="AM365" s="66" t="str">
        <f t="shared" si="5"/>
        <v>https://ensinoiptbr-my.sharepoint.com/personal/ericaugustin_ipt_br/Documents/Documentos/Prototipos/2023/Projeto Controle Ativos/SistemaAtivos2/:f:/s/ControledeAtivos/EoWIC-H0qXhDnJj6qsQ70-gBY0_2x4V_JILVsTPWFHEbuA?e=hKnJNX</v>
      </c>
    </row>
    <row r="366" spans="1:39" ht="32.4" x14ac:dyDescent="0.35">
      <c r="A366" s="1" t="s">
        <v>26</v>
      </c>
      <c r="B366" s="1">
        <v>10</v>
      </c>
      <c r="C366" s="1" t="s">
        <v>2590</v>
      </c>
      <c r="D366" s="1" t="s">
        <v>739</v>
      </c>
      <c r="F366" s="1" t="s">
        <v>334</v>
      </c>
      <c r="H366" s="1" t="s">
        <v>335</v>
      </c>
      <c r="I366" s="1" t="s">
        <v>336</v>
      </c>
      <c r="J366" s="1" t="s">
        <v>337</v>
      </c>
      <c r="O366" s="1" t="s">
        <v>67</v>
      </c>
      <c r="P366" s="5">
        <v>5</v>
      </c>
      <c r="Q366" s="5" t="s">
        <v>235</v>
      </c>
      <c r="R366" s="1">
        <v>220</v>
      </c>
      <c r="S366" s="1">
        <v>220</v>
      </c>
      <c r="V366" s="1" t="s">
        <v>338</v>
      </c>
      <c r="W366" s="1">
        <v>1740</v>
      </c>
      <c r="X366" s="1" t="s">
        <v>237</v>
      </c>
      <c r="AC366" s="1" t="s">
        <v>84</v>
      </c>
      <c r="AD366" s="1" t="s">
        <v>72</v>
      </c>
      <c r="AE366" s="14" t="s">
        <v>339</v>
      </c>
      <c r="AF366" s="7" t="s">
        <v>340</v>
      </c>
      <c r="AH366" s="1" t="s">
        <v>75</v>
      </c>
      <c r="AI366" s="4">
        <v>44862</v>
      </c>
      <c r="AJ366" s="12" t="s">
        <v>341</v>
      </c>
      <c r="AM366" s="66" t="str">
        <f t="shared" si="5"/>
        <v>https://ensinoiptbr.sharepoint.com/:f:/s/ControledeAtivos/EumBkQFkGwRHgdQUXAwRtqUBgqMYe6hv0ExRa8VJb-Z3eg?e=ukX9vL</v>
      </c>
    </row>
    <row r="367" spans="1:39" ht="32.4" x14ac:dyDescent="0.35">
      <c r="A367" s="1" t="s">
        <v>26</v>
      </c>
      <c r="B367" s="1">
        <v>10</v>
      </c>
      <c r="C367" s="1" t="s">
        <v>88</v>
      </c>
      <c r="D367" s="1" t="s">
        <v>739</v>
      </c>
      <c r="F367" s="1" t="s">
        <v>342</v>
      </c>
      <c r="H367" s="1" t="s">
        <v>335</v>
      </c>
      <c r="I367" s="1" t="s">
        <v>343</v>
      </c>
      <c r="J367" s="1" t="s">
        <v>344</v>
      </c>
      <c r="O367" s="1" t="s">
        <v>67</v>
      </c>
      <c r="R367" s="1">
        <v>220</v>
      </c>
      <c r="S367" s="1">
        <v>220</v>
      </c>
      <c r="T367" s="1" t="s">
        <v>69</v>
      </c>
      <c r="W367" s="1">
        <v>200</v>
      </c>
      <c r="X367" s="1" t="s">
        <v>345</v>
      </c>
      <c r="AA367" s="7" t="s">
        <v>119</v>
      </c>
      <c r="AC367" s="1" t="s">
        <v>84</v>
      </c>
      <c r="AF367" s="1" t="s">
        <v>346</v>
      </c>
      <c r="AH367" s="1" t="s">
        <v>75</v>
      </c>
      <c r="AI367" s="4">
        <v>44837</v>
      </c>
      <c r="AJ367" s="12" t="s">
        <v>343</v>
      </c>
      <c r="AM367" s="66" t="str">
        <f t="shared" si="5"/>
        <v>https://ensinoiptbr.sharepoint.com/:f:/s/ControledeAtivos/EvgPX8FRZV9MhvXG_Ruyg2IBRa7ePvh0jVhSjkfTAhCkFA?e=QWPWWU</v>
      </c>
    </row>
    <row r="368" spans="1:39" ht="32.4" x14ac:dyDescent="0.35">
      <c r="A368" s="1" t="s">
        <v>26</v>
      </c>
      <c r="B368" s="1">
        <v>10</v>
      </c>
      <c r="C368" s="1" t="s">
        <v>88</v>
      </c>
      <c r="D368" s="1" t="s">
        <v>739</v>
      </c>
      <c r="F368" s="1" t="s">
        <v>342</v>
      </c>
      <c r="H368" s="1" t="s">
        <v>335</v>
      </c>
      <c r="I368" s="1" t="s">
        <v>347</v>
      </c>
      <c r="J368" s="1" t="s">
        <v>348</v>
      </c>
      <c r="O368" s="1" t="s">
        <v>67</v>
      </c>
      <c r="R368" s="1">
        <v>220</v>
      </c>
      <c r="S368" s="1">
        <v>220</v>
      </c>
      <c r="W368" s="1">
        <v>50</v>
      </c>
      <c r="X368" s="1" t="s">
        <v>345</v>
      </c>
      <c r="AA368" s="7" t="s">
        <v>119</v>
      </c>
      <c r="AC368" s="1" t="s">
        <v>84</v>
      </c>
      <c r="AD368" s="1" t="s">
        <v>72</v>
      </c>
      <c r="AE368" s="15" t="s">
        <v>349</v>
      </c>
      <c r="AF368" s="1" t="s">
        <v>346</v>
      </c>
      <c r="AH368" s="1" t="s">
        <v>75</v>
      </c>
      <c r="AI368" s="4">
        <v>44837</v>
      </c>
      <c r="AJ368" s="12" t="s">
        <v>347</v>
      </c>
      <c r="AM368" s="66" t="str">
        <f t="shared" si="5"/>
        <v>https://ensinoiptbr.sharepoint.com/:f:/s/ControledeAtivos/EvsArR1Qan1GqGhV9e-7_OMByLebwQGUkdnXaE_ep9UJvQ?e=nnRooo</v>
      </c>
    </row>
    <row r="369" spans="1:39" ht="32.4" x14ac:dyDescent="0.35">
      <c r="A369" s="1" t="s">
        <v>26</v>
      </c>
      <c r="B369" s="1">
        <v>10</v>
      </c>
      <c r="C369" s="1" t="s">
        <v>88</v>
      </c>
      <c r="D369" s="1" t="s">
        <v>739</v>
      </c>
      <c r="F369" s="1" t="s">
        <v>350</v>
      </c>
      <c r="H369" s="1" t="s">
        <v>335</v>
      </c>
      <c r="I369" s="1" t="s">
        <v>351</v>
      </c>
      <c r="J369" s="1" t="s">
        <v>352</v>
      </c>
      <c r="O369" s="1" t="s">
        <v>67</v>
      </c>
      <c r="P369" s="5">
        <v>20</v>
      </c>
      <c r="Q369" s="5" t="s">
        <v>68</v>
      </c>
      <c r="R369" s="1">
        <v>220</v>
      </c>
      <c r="S369" s="1">
        <v>220</v>
      </c>
      <c r="T369" s="1" t="s">
        <v>69</v>
      </c>
      <c r="V369" s="1" t="s">
        <v>353</v>
      </c>
      <c r="AA369" s="1" t="s">
        <v>354</v>
      </c>
      <c r="AB369" s="4">
        <v>27760</v>
      </c>
      <c r="AC369" s="1" t="s">
        <v>84</v>
      </c>
      <c r="AD369" s="1" t="s">
        <v>72</v>
      </c>
      <c r="AE369" s="14" t="s">
        <v>355</v>
      </c>
      <c r="AF369" s="1" t="s">
        <v>356</v>
      </c>
      <c r="AH369" s="1" t="s">
        <v>75</v>
      </c>
      <c r="AI369" s="4">
        <v>44834</v>
      </c>
      <c r="AJ369" s="62" t="s">
        <v>351</v>
      </c>
      <c r="AM369" s="66" t="str">
        <f t="shared" si="5"/>
        <v>https://ensinoiptbr.sharepoint.com/:f:/s/ControledeAtivos/EiwnXWJKuAJBpZTWxh4hZFoBoEajdbzqS8DddIi1P_n0XA?e=RCmB80</v>
      </c>
    </row>
    <row r="370" spans="1:39" s="43" customFormat="1" ht="32.4" x14ac:dyDescent="0.35">
      <c r="A370" s="1" t="s">
        <v>26</v>
      </c>
      <c r="B370" s="1">
        <v>10</v>
      </c>
      <c r="C370" s="1" t="s">
        <v>88</v>
      </c>
      <c r="D370" s="1" t="s">
        <v>739</v>
      </c>
      <c r="E370" s="1"/>
      <c r="F370" s="1" t="s">
        <v>364</v>
      </c>
      <c r="G370" s="1"/>
      <c r="H370" s="1" t="s">
        <v>335</v>
      </c>
      <c r="I370" s="1" t="s">
        <v>363</v>
      </c>
      <c r="J370" s="1" t="s">
        <v>365</v>
      </c>
      <c r="K370" s="1"/>
      <c r="L370" s="68"/>
      <c r="M370" s="1"/>
      <c r="N370" s="1"/>
      <c r="O370" s="1" t="s">
        <v>67</v>
      </c>
      <c r="P370" s="5">
        <v>11</v>
      </c>
      <c r="Q370" s="5" t="s">
        <v>68</v>
      </c>
      <c r="R370" s="1">
        <v>220</v>
      </c>
      <c r="S370" s="1">
        <v>220</v>
      </c>
      <c r="T370" s="1"/>
      <c r="U370" s="1"/>
      <c r="V370" s="1" t="s">
        <v>366</v>
      </c>
      <c r="W370" s="1">
        <v>1120</v>
      </c>
      <c r="X370" s="1" t="s">
        <v>237</v>
      </c>
      <c r="Y370" s="1"/>
      <c r="Z370" s="1"/>
      <c r="AA370" s="1" t="s">
        <v>119</v>
      </c>
      <c r="AB370" s="4">
        <v>28491</v>
      </c>
      <c r="AC370" s="1" t="s">
        <v>84</v>
      </c>
      <c r="AD370" s="1" t="s">
        <v>72</v>
      </c>
      <c r="AE370" s="14" t="s">
        <v>367</v>
      </c>
      <c r="AF370" s="1" t="s">
        <v>368</v>
      </c>
      <c r="AG370" s="5"/>
      <c r="AH370" s="1" t="s">
        <v>75</v>
      </c>
      <c r="AI370" s="4">
        <v>44834</v>
      </c>
      <c r="AJ370" s="12" t="s">
        <v>363</v>
      </c>
      <c r="AK370" s="2"/>
      <c r="AM370" s="66" t="str">
        <f t="shared" si="5"/>
        <v>https://ensinoiptbr.sharepoint.com/:f:/s/ControledeAtivos/Ep0Bajc4nb9Esa7AfQ3tNokBDH5lEZFukF6WfjVsxOqASQ?e=pbffZR</v>
      </c>
    </row>
    <row r="371" spans="1:39" ht="32.4" x14ac:dyDescent="0.35">
      <c r="A371" s="1" t="s">
        <v>26</v>
      </c>
      <c r="B371" s="1">
        <v>10</v>
      </c>
      <c r="C371" s="1" t="s">
        <v>77</v>
      </c>
      <c r="D371" s="1" t="s">
        <v>739</v>
      </c>
      <c r="F371" s="1" t="s">
        <v>369</v>
      </c>
      <c r="H371" s="1" t="s">
        <v>335</v>
      </c>
      <c r="I371" s="1" t="s">
        <v>370</v>
      </c>
      <c r="J371" s="1" t="s">
        <v>371</v>
      </c>
      <c r="O371" s="1" t="s">
        <v>81</v>
      </c>
      <c r="R371" s="1">
        <v>100</v>
      </c>
      <c r="S371" s="1">
        <v>100</v>
      </c>
      <c r="U371" s="1" t="s">
        <v>98</v>
      </c>
      <c r="V371" s="1" t="s">
        <v>372</v>
      </c>
      <c r="AC371" s="1" t="s">
        <v>84</v>
      </c>
      <c r="AD371" s="1" t="s">
        <v>72</v>
      </c>
      <c r="AE371" s="14" t="s">
        <v>373</v>
      </c>
      <c r="AF371" s="1" t="s">
        <v>374</v>
      </c>
      <c r="AH371" s="1" t="s">
        <v>75</v>
      </c>
      <c r="AI371" s="4">
        <v>44834</v>
      </c>
      <c r="AJ371" s="12" t="s">
        <v>370</v>
      </c>
      <c r="AM371" s="66" t="str">
        <f t="shared" si="5"/>
        <v>https://ensinoiptbr.sharepoint.com/:f:/s/ControledeAtivos/Ev9_PwWhYSpHtuHj1L9Iqd4BuYU5SJu5DSR6R-BQo9b1CA?e=m3Bfjp</v>
      </c>
    </row>
    <row r="372" spans="1:39" ht="81" x14ac:dyDescent="0.35">
      <c r="A372" s="1" t="s">
        <v>26</v>
      </c>
      <c r="B372" s="1">
        <v>10</v>
      </c>
      <c r="C372" s="1" t="s">
        <v>124</v>
      </c>
      <c r="D372" s="1" t="s">
        <v>739</v>
      </c>
      <c r="F372" s="1" t="s">
        <v>375</v>
      </c>
      <c r="H372" s="1" t="s">
        <v>335</v>
      </c>
      <c r="I372" s="1" t="s">
        <v>376</v>
      </c>
      <c r="J372" s="1" t="s">
        <v>313</v>
      </c>
      <c r="O372" s="1" t="s">
        <v>67</v>
      </c>
      <c r="P372" s="1">
        <v>0.1</v>
      </c>
      <c r="Q372" s="1" t="s">
        <v>198</v>
      </c>
      <c r="R372" s="1">
        <v>110</v>
      </c>
      <c r="S372" s="1">
        <v>110</v>
      </c>
      <c r="U372" s="1" t="s">
        <v>69</v>
      </c>
      <c r="V372" s="1" t="s">
        <v>377</v>
      </c>
      <c r="AA372" s="1" t="s">
        <v>100</v>
      </c>
      <c r="AB372" s="4">
        <v>31048</v>
      </c>
      <c r="AC372" s="1" t="s">
        <v>101</v>
      </c>
      <c r="AD372" s="1" t="s">
        <v>191</v>
      </c>
      <c r="AE372" s="14" t="s">
        <v>378</v>
      </c>
      <c r="AF372" s="1" t="s">
        <v>379</v>
      </c>
      <c r="AH372" s="1" t="s">
        <v>75</v>
      </c>
      <c r="AI372" s="4">
        <v>44827</v>
      </c>
      <c r="AJ372" s="12" t="s">
        <v>376</v>
      </c>
      <c r="AM372" s="66" t="str">
        <f t="shared" si="5"/>
        <v>https://ensinoiptbr-my.sharepoint.com/personal/ericaugustin_ipt_br/Documents/Documentos/Prototipos/2023/Projeto Controle Ativos/SistemaAtivos2/:f:/s/ControledeAtivos/Ej6lynUXWyxMuIxr-U4Gy30BYPOHWtKCddzhqpGR8FgceA?e=caHmin</v>
      </c>
    </row>
    <row r="373" spans="1:39" ht="81" x14ac:dyDescent="0.35">
      <c r="A373" s="1" t="s">
        <v>26</v>
      </c>
      <c r="B373" s="1">
        <v>10</v>
      </c>
      <c r="C373" s="1" t="s">
        <v>105</v>
      </c>
      <c r="D373" s="1" t="s">
        <v>739</v>
      </c>
      <c r="F373" s="1" t="s">
        <v>350</v>
      </c>
      <c r="H373" s="1" t="s">
        <v>335</v>
      </c>
      <c r="I373" s="1" t="s">
        <v>380</v>
      </c>
      <c r="J373" s="1" t="s">
        <v>352</v>
      </c>
      <c r="O373" s="1" t="s">
        <v>109</v>
      </c>
      <c r="R373" s="1">
        <v>220</v>
      </c>
      <c r="S373" s="1">
        <v>220</v>
      </c>
      <c r="V373" s="1" t="s">
        <v>381</v>
      </c>
      <c r="AA373" s="1" t="s">
        <v>119</v>
      </c>
      <c r="AB373" s="4">
        <v>39814</v>
      </c>
      <c r="AC373" s="1" t="s">
        <v>120</v>
      </c>
      <c r="AD373" s="1" t="s">
        <v>72</v>
      </c>
      <c r="AE373" s="14" t="s">
        <v>382</v>
      </c>
      <c r="AF373" s="1" t="s">
        <v>356</v>
      </c>
      <c r="AH373" s="1" t="s">
        <v>75</v>
      </c>
      <c r="AI373" s="4">
        <v>44820</v>
      </c>
      <c r="AJ373" s="12" t="s">
        <v>380</v>
      </c>
      <c r="AM373" s="66" t="str">
        <f t="shared" si="5"/>
        <v>https://ensinoiptbr-my.sharepoint.com/personal/ericaugustin_ipt_br/Documents/Documentos/Prototipos/2023/Projeto Controle Ativos/SistemaAtivos2/:f:/s/ControledeAtivos/EtUJUWItndFAugpZM2ODuuEBWFLlPrNP0a4YDRwTNOpyCg?e=HaMIVK</v>
      </c>
    </row>
    <row r="374" spans="1:39" ht="81" x14ac:dyDescent="0.35">
      <c r="A374" s="1" t="s">
        <v>26</v>
      </c>
      <c r="B374" s="1">
        <v>10</v>
      </c>
      <c r="C374" s="1" t="s">
        <v>383</v>
      </c>
      <c r="D374" s="1" t="s">
        <v>739</v>
      </c>
      <c r="F374" s="1" t="s">
        <v>384</v>
      </c>
      <c r="H374" s="1" t="s">
        <v>385</v>
      </c>
      <c r="I374" s="1" t="s">
        <v>386</v>
      </c>
      <c r="J374" s="1" t="s">
        <v>214</v>
      </c>
      <c r="O374" s="1" t="s">
        <v>234</v>
      </c>
      <c r="W374" s="1" t="s">
        <v>387</v>
      </c>
      <c r="AA374" s="1" t="s">
        <v>119</v>
      </c>
      <c r="AC374" s="1" t="s">
        <v>84</v>
      </c>
      <c r="AF374" s="1" t="s">
        <v>388</v>
      </c>
      <c r="AI374" s="4">
        <v>44862</v>
      </c>
      <c r="AJ374" s="12" t="s">
        <v>389</v>
      </c>
      <c r="AK374" s="2" t="s">
        <v>390</v>
      </c>
      <c r="AM374" s="66" t="str">
        <f t="shared" si="5"/>
        <v>https://ensinoiptbr-my.sharepoint.com/personal/ericaugustin_ipt_br/Documents/Documentos/Prototipos/2023/Projeto Controle Ativos/SistemaAtivos2/:f:/s/ControledeAtivos/EqWR8_xuJ6NJp7LCFXIEZ5UBYbmJb1xURi2HULHDqwS8bg?e=mKtPga</v>
      </c>
    </row>
    <row r="375" spans="1:39" s="43" customFormat="1" ht="32.4" x14ac:dyDescent="0.35">
      <c r="A375" s="1" t="s">
        <v>26</v>
      </c>
      <c r="B375" s="1">
        <v>10</v>
      </c>
      <c r="C375" s="1" t="s">
        <v>77</v>
      </c>
      <c r="D375" s="1" t="s">
        <v>739</v>
      </c>
      <c r="E375" s="1"/>
      <c r="F375" s="1" t="s">
        <v>391</v>
      </c>
      <c r="G375" s="1"/>
      <c r="H375" s="1" t="s">
        <v>385</v>
      </c>
      <c r="I375" s="1" t="s">
        <v>392</v>
      </c>
      <c r="J375" s="1" t="s">
        <v>365</v>
      </c>
      <c r="K375" s="1"/>
      <c r="L375" s="68"/>
      <c r="M375" s="1"/>
      <c r="N375" s="1"/>
      <c r="O375" s="1" t="s">
        <v>81</v>
      </c>
      <c r="P375" s="5">
        <v>12</v>
      </c>
      <c r="Q375" s="5" t="s">
        <v>68</v>
      </c>
      <c r="R375" s="1">
        <v>220</v>
      </c>
      <c r="S375" s="1">
        <v>220</v>
      </c>
      <c r="T375" s="1"/>
      <c r="U375" s="1"/>
      <c r="V375" s="7" t="s">
        <v>393</v>
      </c>
      <c r="W375" s="1"/>
      <c r="X375" s="1"/>
      <c r="Y375" s="1"/>
      <c r="Z375" s="1"/>
      <c r="AA375" s="1" t="s">
        <v>119</v>
      </c>
      <c r="AB375" s="4">
        <v>28126</v>
      </c>
      <c r="AC375" s="1" t="s">
        <v>84</v>
      </c>
      <c r="AD375" s="1" t="s">
        <v>85</v>
      </c>
      <c r="AE375" s="14" t="s">
        <v>305</v>
      </c>
      <c r="AF375" s="1" t="s">
        <v>388</v>
      </c>
      <c r="AG375" s="1"/>
      <c r="AH375" s="1" t="s">
        <v>75</v>
      </c>
      <c r="AI375" s="4">
        <v>44847</v>
      </c>
      <c r="AJ375" s="12" t="s">
        <v>392</v>
      </c>
      <c r="AK375" s="2"/>
      <c r="AM375" s="66" t="str">
        <f t="shared" si="5"/>
        <v>https://ensinoiptbr.sharepoint.com/:f:/s/ControledeAtivos/EiWEgWbMYFxOgiMPLnbiByUBGkB9NhmsxmNZD8D5ElFtJw?e=3TVyZo</v>
      </c>
    </row>
    <row r="376" spans="1:39" ht="32.4" x14ac:dyDescent="0.35">
      <c r="A376" s="1" t="s">
        <v>26</v>
      </c>
      <c r="B376" s="1">
        <v>10</v>
      </c>
      <c r="C376" s="1" t="s">
        <v>77</v>
      </c>
      <c r="D376" s="1" t="s">
        <v>739</v>
      </c>
      <c r="F376" s="1" t="s">
        <v>394</v>
      </c>
      <c r="H376" s="1" t="s">
        <v>385</v>
      </c>
      <c r="I376" s="1" t="s">
        <v>395</v>
      </c>
      <c r="J376" s="1" t="s">
        <v>396</v>
      </c>
      <c r="O376" s="1" t="s">
        <v>81</v>
      </c>
      <c r="P376" s="5">
        <v>4</v>
      </c>
      <c r="Q376" s="5" t="s">
        <v>68</v>
      </c>
      <c r="R376" s="1">
        <v>220</v>
      </c>
      <c r="S376" s="1">
        <v>220</v>
      </c>
      <c r="T376" s="1" t="s">
        <v>69</v>
      </c>
      <c r="V376" s="1" t="s">
        <v>397</v>
      </c>
      <c r="AF376" s="1" t="s">
        <v>398</v>
      </c>
      <c r="AH376" s="1" t="s">
        <v>75</v>
      </c>
      <c r="AI376" s="4">
        <v>44847</v>
      </c>
      <c r="AJ376" s="12" t="s">
        <v>395</v>
      </c>
      <c r="AM376" s="66" t="str">
        <f t="shared" si="5"/>
        <v>https://ensinoiptbr.sharepoint.com/:f:/s/ControledeAtivos/Ehrse6ElhBdDh5Qq7zFUOEYBnA5g0enYFAPpOk1WPSjFew?e=Nt01iN</v>
      </c>
    </row>
    <row r="377" spans="1:39" ht="32.4" x14ac:dyDescent="0.35">
      <c r="A377" s="1" t="s">
        <v>26</v>
      </c>
      <c r="B377" s="1">
        <v>10</v>
      </c>
      <c r="C377" s="1" t="s">
        <v>77</v>
      </c>
      <c r="D377" s="1" t="s">
        <v>739</v>
      </c>
      <c r="F377" s="1" t="s">
        <v>399</v>
      </c>
      <c r="H377" s="1" t="s">
        <v>385</v>
      </c>
      <c r="I377" s="1" t="s">
        <v>400</v>
      </c>
      <c r="J377" s="1" t="s">
        <v>396</v>
      </c>
      <c r="O377" s="1" t="s">
        <v>81</v>
      </c>
      <c r="P377" s="5">
        <v>20</v>
      </c>
      <c r="Q377" s="5" t="s">
        <v>68</v>
      </c>
      <c r="R377" s="1">
        <v>220</v>
      </c>
      <c r="T377" s="1" t="s">
        <v>69</v>
      </c>
      <c r="V377" s="1" t="s">
        <v>401</v>
      </c>
      <c r="Y377" s="1">
        <v>3500</v>
      </c>
      <c r="Z377" s="1" t="s">
        <v>237</v>
      </c>
      <c r="AA377" s="1" t="s">
        <v>119</v>
      </c>
      <c r="AB377" s="4">
        <v>30317</v>
      </c>
      <c r="AC377" s="1" t="s">
        <v>84</v>
      </c>
      <c r="AF377" s="1" t="s">
        <v>402</v>
      </c>
      <c r="AH377" s="1" t="s">
        <v>112</v>
      </c>
      <c r="AI377" s="4">
        <v>44847</v>
      </c>
      <c r="AJ377" s="12" t="s">
        <v>400</v>
      </c>
      <c r="AM377" s="66" t="str">
        <f t="shared" si="5"/>
        <v>https://ensinoiptbr.sharepoint.com/:f:/s/ControledeAtivos/Eq637wMbEsFGjUzaL_a4slcB9eLojl0FIHBxD-bhxxl6Tw?e=VmVUe4</v>
      </c>
    </row>
    <row r="378" spans="1:39" ht="32.4" x14ac:dyDescent="0.35">
      <c r="A378" s="1" t="s">
        <v>26</v>
      </c>
      <c r="B378" s="1">
        <v>10</v>
      </c>
      <c r="C378" s="1" t="s">
        <v>77</v>
      </c>
      <c r="D378" s="1" t="s">
        <v>739</v>
      </c>
      <c r="F378" s="1" t="s">
        <v>403</v>
      </c>
      <c r="H378" s="1" t="s">
        <v>385</v>
      </c>
      <c r="I378" s="1" t="s">
        <v>404</v>
      </c>
      <c r="J378" s="1" t="s">
        <v>365</v>
      </c>
      <c r="O378" s="1" t="s">
        <v>81</v>
      </c>
      <c r="P378" s="5">
        <v>0.5</v>
      </c>
      <c r="Q378" s="5" t="s">
        <v>68</v>
      </c>
      <c r="R378" s="1">
        <v>220</v>
      </c>
      <c r="S378" s="1">
        <v>220</v>
      </c>
      <c r="T378" s="1" t="s">
        <v>69</v>
      </c>
      <c r="V378" s="1" t="s">
        <v>405</v>
      </c>
      <c r="AA378" s="1" t="s">
        <v>119</v>
      </c>
      <c r="AC378" s="1" t="s">
        <v>84</v>
      </c>
      <c r="AD378" s="1" t="s">
        <v>72</v>
      </c>
      <c r="AE378" s="14" t="s">
        <v>406</v>
      </c>
      <c r="AF378" s="1" t="s">
        <v>407</v>
      </c>
      <c r="AH378" s="1" t="s">
        <v>75</v>
      </c>
      <c r="AI378" s="4">
        <v>44852</v>
      </c>
      <c r="AJ378" s="12" t="s">
        <v>404</v>
      </c>
      <c r="AM378" s="66" t="str">
        <f t="shared" si="5"/>
        <v>https://ensinoiptbr.sharepoint.com/:f:/s/ControledeAtivos/EuQk_FnSsAhPvJvrb_7uP8QBA_PQprKzQSUDs8CGAUbiLQ?e=PuA6XW</v>
      </c>
    </row>
    <row r="379" spans="1:39" ht="32.4" x14ac:dyDescent="0.35">
      <c r="A379" s="1" t="s">
        <v>26</v>
      </c>
      <c r="B379" s="1">
        <v>10</v>
      </c>
      <c r="C379" s="1" t="s">
        <v>77</v>
      </c>
      <c r="D379" s="1" t="s">
        <v>739</v>
      </c>
      <c r="F379" s="1" t="s">
        <v>408</v>
      </c>
      <c r="H379" s="1" t="s">
        <v>385</v>
      </c>
      <c r="I379" s="1" t="s">
        <v>409</v>
      </c>
      <c r="J379" s="1" t="s">
        <v>410</v>
      </c>
      <c r="O379" s="1" t="s">
        <v>81</v>
      </c>
      <c r="P379" s="5">
        <v>20</v>
      </c>
      <c r="Q379" s="5" t="s">
        <v>68</v>
      </c>
      <c r="R379" s="1">
        <v>220</v>
      </c>
      <c r="S379" s="1">
        <v>220</v>
      </c>
      <c r="T379" s="1" t="s">
        <v>69</v>
      </c>
      <c r="V379" s="1" t="s">
        <v>411</v>
      </c>
      <c r="AA379" s="1" t="s">
        <v>119</v>
      </c>
      <c r="AB379" s="4">
        <v>39814</v>
      </c>
      <c r="AC379" s="7" t="s">
        <v>120</v>
      </c>
      <c r="AD379" s="7" t="s">
        <v>72</v>
      </c>
      <c r="AE379" s="15" t="s">
        <v>412</v>
      </c>
      <c r="AF379" s="1" t="s">
        <v>413</v>
      </c>
      <c r="AH379" s="1" t="s">
        <v>75</v>
      </c>
      <c r="AI379" s="4">
        <v>44847</v>
      </c>
      <c r="AJ379" s="62" t="s">
        <v>414</v>
      </c>
      <c r="AM379" s="66" t="str">
        <f t="shared" si="5"/>
        <v>https://ensinoiptbr.sharepoint.com/:f:/s/ControledeAtivos/EulwMKZzErFJswL5iIVLL2MBkNkdWkhUlBsGeA0tIUZOjQ?e=T7k89k</v>
      </c>
    </row>
    <row r="380" spans="1:39" ht="32.4" x14ac:dyDescent="0.35">
      <c r="A380" s="1" t="s">
        <v>26</v>
      </c>
      <c r="B380" s="1">
        <v>10</v>
      </c>
      <c r="C380" s="1" t="s">
        <v>124</v>
      </c>
      <c r="D380" s="1" t="s">
        <v>739</v>
      </c>
      <c r="F380" s="1" t="s">
        <v>415</v>
      </c>
      <c r="H380" s="1" t="s">
        <v>385</v>
      </c>
      <c r="I380" s="1" t="s">
        <v>414</v>
      </c>
      <c r="J380" s="1" t="s">
        <v>365</v>
      </c>
      <c r="O380" s="1" t="s">
        <v>109</v>
      </c>
      <c r="R380" s="1">
        <v>220</v>
      </c>
      <c r="S380" s="1">
        <v>220</v>
      </c>
      <c r="T380" s="1" t="s">
        <v>69</v>
      </c>
      <c r="V380" s="1" t="s">
        <v>416</v>
      </c>
      <c r="AD380" s="1" t="s">
        <v>72</v>
      </c>
      <c r="AE380" s="14" t="s">
        <v>417</v>
      </c>
      <c r="AF380" s="1" t="s">
        <v>418</v>
      </c>
      <c r="AH380" s="1" t="s">
        <v>75</v>
      </c>
      <c r="AI380" s="4">
        <v>44852</v>
      </c>
      <c r="AJ380" s="12" t="s">
        <v>419</v>
      </c>
      <c r="AM380" s="66" t="str">
        <f t="shared" si="5"/>
        <v>https://ensinoiptbr.sharepoint.com/:f:/s/ControledeAtivos/EkkTAJnz1qtGhpsha23B4IkB4FYIdMyk79Yku12ZXvepzw?e=InFebB</v>
      </c>
    </row>
    <row r="381" spans="1:39" ht="32.4" x14ac:dyDescent="0.35">
      <c r="A381" s="1" t="s">
        <v>26</v>
      </c>
      <c r="B381" s="1">
        <v>10</v>
      </c>
      <c r="C381" s="1" t="s">
        <v>77</v>
      </c>
      <c r="D381" s="1" t="s">
        <v>739</v>
      </c>
      <c r="E381" s="1" t="s">
        <v>420</v>
      </c>
      <c r="F381" s="1" t="s">
        <v>421</v>
      </c>
      <c r="H381" s="1" t="s">
        <v>385</v>
      </c>
      <c r="I381" s="1" t="s">
        <v>419</v>
      </c>
      <c r="J381" s="1" t="s">
        <v>80</v>
      </c>
      <c r="O381" s="1" t="s">
        <v>81</v>
      </c>
      <c r="P381" s="5">
        <v>1.5</v>
      </c>
      <c r="Q381" s="5" t="s">
        <v>235</v>
      </c>
      <c r="R381" s="1">
        <v>220</v>
      </c>
      <c r="S381" s="1">
        <v>220</v>
      </c>
      <c r="T381" s="1" t="s">
        <v>69</v>
      </c>
      <c r="V381" s="1" t="s">
        <v>422</v>
      </c>
      <c r="AA381" s="1" t="s">
        <v>83</v>
      </c>
      <c r="AB381" s="4">
        <v>24838</v>
      </c>
      <c r="AC381" s="1" t="s">
        <v>84</v>
      </c>
      <c r="AE381" s="15"/>
      <c r="AF381" s="1" t="s">
        <v>398</v>
      </c>
      <c r="AH381" s="1" t="s">
        <v>75</v>
      </c>
      <c r="AI381" s="4">
        <v>44852</v>
      </c>
      <c r="AJ381" s="12" t="s">
        <v>423</v>
      </c>
      <c r="AK381" s="2" t="s">
        <v>424</v>
      </c>
      <c r="AM381" s="66" t="str">
        <f t="shared" si="5"/>
        <v>https://ensinoiptbr.sharepoint.com/:f:/s/ControledeAtivos/Egxjtj6ZJdRGp3Ng8w0dagsB5gKmXktyKdby5xurtXWnug?e=OPYvSc</v>
      </c>
    </row>
    <row r="382" spans="1:39" ht="32.4" x14ac:dyDescent="0.35">
      <c r="A382" s="1" t="s">
        <v>26</v>
      </c>
      <c r="B382" s="1">
        <v>10</v>
      </c>
      <c r="C382" s="1" t="s">
        <v>88</v>
      </c>
      <c r="D382" s="1" t="s">
        <v>739</v>
      </c>
      <c r="F382" s="1" t="s">
        <v>425</v>
      </c>
      <c r="H382" s="1" t="s">
        <v>385</v>
      </c>
      <c r="I382" s="1" t="s">
        <v>426</v>
      </c>
      <c r="J382" s="1" t="s">
        <v>365</v>
      </c>
      <c r="O382" s="1" t="s">
        <v>67</v>
      </c>
      <c r="P382" s="5">
        <v>20</v>
      </c>
      <c r="Q382" s="5" t="s">
        <v>68</v>
      </c>
      <c r="R382" s="1">
        <v>220</v>
      </c>
      <c r="S382" s="1">
        <v>220</v>
      </c>
      <c r="U382" s="1" t="s">
        <v>69</v>
      </c>
      <c r="W382" s="1">
        <v>250</v>
      </c>
      <c r="X382" s="1" t="s">
        <v>427</v>
      </c>
      <c r="AA382" s="1" t="s">
        <v>428</v>
      </c>
      <c r="AC382" s="1" t="s">
        <v>84</v>
      </c>
      <c r="AD382" s="1" t="s">
        <v>72</v>
      </c>
      <c r="AE382" s="14" t="s">
        <v>429</v>
      </c>
      <c r="AF382" s="1" t="s">
        <v>430</v>
      </c>
      <c r="AH382" s="1" t="s">
        <v>333</v>
      </c>
      <c r="AI382" s="4">
        <v>44834</v>
      </c>
      <c r="AJ382" s="62" t="s">
        <v>431</v>
      </c>
      <c r="AM382" s="66" t="str">
        <f t="shared" si="5"/>
        <v>https://ensinoiptbr.sharepoint.com/:f:/s/ControledeAtivos/EgRqCyCsHBZEmlJyVxLENjEBOleVSPdH0Lk2laC3BnmPYg?e=MTp6Ya</v>
      </c>
    </row>
    <row r="383" spans="1:39" ht="32.4" x14ac:dyDescent="0.35">
      <c r="A383" s="1" t="s">
        <v>26</v>
      </c>
      <c r="B383" s="1">
        <v>10</v>
      </c>
      <c r="C383" s="1" t="s">
        <v>130</v>
      </c>
      <c r="D383" s="1" t="s">
        <v>739</v>
      </c>
      <c r="E383" s="1" t="s">
        <v>146</v>
      </c>
      <c r="F383" s="1" t="s">
        <v>432</v>
      </c>
      <c r="H383" s="1" t="s">
        <v>385</v>
      </c>
      <c r="I383" s="1" t="s">
        <v>431</v>
      </c>
      <c r="J383" s="1" t="s">
        <v>433</v>
      </c>
      <c r="O383" s="1" t="s">
        <v>135</v>
      </c>
      <c r="P383" s="1">
        <v>39</v>
      </c>
      <c r="Q383" s="1" t="s">
        <v>97</v>
      </c>
      <c r="R383" s="1">
        <v>100</v>
      </c>
      <c r="S383" s="1">
        <v>100</v>
      </c>
      <c r="V383" s="1" t="s">
        <v>434</v>
      </c>
      <c r="AA383" s="1" t="s">
        <v>100</v>
      </c>
      <c r="AB383" s="4">
        <v>31048</v>
      </c>
      <c r="AC383" s="1" t="s">
        <v>101</v>
      </c>
      <c r="AD383" s="1" t="s">
        <v>72</v>
      </c>
      <c r="AE383" s="15" t="s">
        <v>435</v>
      </c>
      <c r="AF383" s="1" t="s">
        <v>430</v>
      </c>
      <c r="AH383" s="1" t="s">
        <v>75</v>
      </c>
      <c r="AI383" s="4">
        <v>44862</v>
      </c>
      <c r="AJ383" s="12" t="s">
        <v>436</v>
      </c>
      <c r="AM383" s="66" t="str">
        <f t="shared" si="5"/>
        <v>https://ensinoiptbr.sharepoint.com/:f:/s/ControledeAtivos/EtgwVBucePRCqrXenfShVxgBbudh3H6cuWdDbVIbGYGx_w?e=g1EtgT</v>
      </c>
    </row>
    <row r="384" spans="1:39" ht="81" x14ac:dyDescent="0.35">
      <c r="A384" s="1" t="s">
        <v>26</v>
      </c>
      <c r="B384" s="1">
        <v>10</v>
      </c>
      <c r="C384" s="1" t="s">
        <v>124</v>
      </c>
      <c r="D384" s="1" t="s">
        <v>739</v>
      </c>
      <c r="F384" s="1" t="s">
        <v>437</v>
      </c>
      <c r="H384" s="1" t="s">
        <v>385</v>
      </c>
      <c r="I384" s="1" t="s">
        <v>436</v>
      </c>
      <c r="J384" s="1" t="s">
        <v>438</v>
      </c>
      <c r="O384" s="1" t="s">
        <v>109</v>
      </c>
      <c r="P384" s="1">
        <v>1.5</v>
      </c>
      <c r="Q384" s="1" t="s">
        <v>198</v>
      </c>
      <c r="R384" s="1">
        <v>220</v>
      </c>
      <c r="S384" s="1">
        <v>220</v>
      </c>
      <c r="U384" s="1" t="s">
        <v>69</v>
      </c>
      <c r="V384" s="1" t="s">
        <v>439</v>
      </c>
      <c r="W384" s="1">
        <v>570</v>
      </c>
      <c r="X384" s="1" t="s">
        <v>237</v>
      </c>
      <c r="AA384" s="1" t="s">
        <v>100</v>
      </c>
      <c r="AB384" s="4">
        <v>31048</v>
      </c>
      <c r="AC384" s="1" t="s">
        <v>101</v>
      </c>
      <c r="AD384" s="1" t="s">
        <v>191</v>
      </c>
      <c r="AE384" s="15" t="s">
        <v>440</v>
      </c>
      <c r="AF384" s="1" t="s">
        <v>441</v>
      </c>
      <c r="AH384" s="1" t="s">
        <v>75</v>
      </c>
      <c r="AI384" s="4">
        <v>44827</v>
      </c>
      <c r="AJ384" s="12" t="s">
        <v>442</v>
      </c>
      <c r="AM384" s="66" t="str">
        <f t="shared" si="5"/>
        <v>https://ensinoiptbr-my.sharepoint.com/personal/ericaugustin_ipt_br/Documents/Documentos/Prototipos/2023/Projeto Controle Ativos/SistemaAtivos2/:f:/s/ControledeAtivos/EkPFPpusSV9NjQxEU8Ea-R8B3nUdLtpn8Rl9zXyQTNRJmg?e=1qs7PL</v>
      </c>
    </row>
    <row r="385" spans="1:39" ht="81" x14ac:dyDescent="0.35">
      <c r="A385" s="1" t="s">
        <v>26</v>
      </c>
      <c r="B385" s="1">
        <v>10</v>
      </c>
      <c r="C385" s="1" t="s">
        <v>124</v>
      </c>
      <c r="D385" s="1" t="s">
        <v>739</v>
      </c>
      <c r="F385" s="1" t="s">
        <v>443</v>
      </c>
      <c r="H385" s="1" t="s">
        <v>385</v>
      </c>
      <c r="I385" s="1" t="s">
        <v>442</v>
      </c>
      <c r="J385" s="1" t="s">
        <v>438</v>
      </c>
      <c r="O385" s="1" t="s">
        <v>109</v>
      </c>
      <c r="P385" s="5">
        <v>0.2</v>
      </c>
      <c r="Q385" s="5" t="s">
        <v>235</v>
      </c>
      <c r="R385" s="1">
        <v>110</v>
      </c>
      <c r="S385" s="1">
        <v>110</v>
      </c>
      <c r="V385" s="1" t="s">
        <v>444</v>
      </c>
      <c r="W385" s="1">
        <v>75</v>
      </c>
      <c r="X385" s="1" t="s">
        <v>237</v>
      </c>
      <c r="AA385" s="1" t="s">
        <v>100</v>
      </c>
      <c r="AB385" s="4">
        <v>31048</v>
      </c>
      <c r="AC385" s="1" t="s">
        <v>101</v>
      </c>
      <c r="AD385" s="1" t="s">
        <v>72</v>
      </c>
      <c r="AE385" s="15" t="s">
        <v>445</v>
      </c>
      <c r="AF385" s="1" t="s">
        <v>441</v>
      </c>
      <c r="AH385" s="1" t="s">
        <v>75</v>
      </c>
      <c r="AI385" s="4">
        <v>44827</v>
      </c>
      <c r="AJ385" s="12" t="s">
        <v>446</v>
      </c>
      <c r="AM385" s="66" t="str">
        <f t="shared" si="5"/>
        <v>https://ensinoiptbr-my.sharepoint.com/personal/ericaugustin_ipt_br/Documents/Documentos/Prototipos/2023/Projeto Controle Ativos/SistemaAtivos2/:f:/s/ControledeAtivos/Eq16Kw7bB3RGlgTsvCb2uAsBBsPR-VZEqGenrtMxEVtTgw?e=KNC6hy</v>
      </c>
    </row>
    <row r="386" spans="1:39" ht="81" x14ac:dyDescent="0.35">
      <c r="A386" s="1" t="s">
        <v>26</v>
      </c>
      <c r="B386" s="1">
        <v>10</v>
      </c>
      <c r="C386" s="1" t="s">
        <v>124</v>
      </c>
      <c r="D386" s="1" t="s">
        <v>739</v>
      </c>
      <c r="F386" s="1" t="s">
        <v>443</v>
      </c>
      <c r="H386" s="1" t="s">
        <v>385</v>
      </c>
      <c r="I386" s="1" t="s">
        <v>446</v>
      </c>
      <c r="J386" s="1" t="s">
        <v>438</v>
      </c>
      <c r="O386" s="1" t="s">
        <v>109</v>
      </c>
      <c r="P386" s="5">
        <v>0.2</v>
      </c>
      <c r="Q386" s="5" t="s">
        <v>198</v>
      </c>
      <c r="R386" s="1">
        <v>110</v>
      </c>
      <c r="S386" s="1">
        <v>110</v>
      </c>
      <c r="V386" s="1" t="s">
        <v>447</v>
      </c>
      <c r="W386" s="1">
        <v>70</v>
      </c>
      <c r="X386" s="1" t="s">
        <v>237</v>
      </c>
      <c r="AA386" s="1" t="s">
        <v>100</v>
      </c>
      <c r="AB386" s="4">
        <v>31048</v>
      </c>
      <c r="AC386" s="1" t="s">
        <v>101</v>
      </c>
      <c r="AD386" s="1" t="s">
        <v>191</v>
      </c>
      <c r="AE386" s="15" t="s">
        <v>448</v>
      </c>
      <c r="AF386" s="1" t="s">
        <v>441</v>
      </c>
      <c r="AH386" s="1" t="s">
        <v>75</v>
      </c>
      <c r="AI386" s="4">
        <v>44827</v>
      </c>
      <c r="AJ386" s="12" t="s">
        <v>449</v>
      </c>
      <c r="AM386" s="66" t="str">
        <f t="shared" si="5"/>
        <v>https://ensinoiptbr-my.sharepoint.com/personal/ericaugustin_ipt_br/Documents/Documentos/Prototipos/2023/Projeto Controle Ativos/SistemaAtivos2/:f:/s/ControledeAtivos/Etlt6Ilo3ZRJnTbhEd66rrABDT2XMUzTa3W7uE3y5PzeYQ?e=7rsjVx</v>
      </c>
    </row>
    <row r="387" spans="1:39" ht="81" x14ac:dyDescent="0.35">
      <c r="A387" s="1" t="s">
        <v>26</v>
      </c>
      <c r="B387" s="1">
        <v>10</v>
      </c>
      <c r="C387" s="1" t="s">
        <v>124</v>
      </c>
      <c r="D387" s="1" t="s">
        <v>739</v>
      </c>
      <c r="F387" s="1" t="s">
        <v>443</v>
      </c>
      <c r="H387" s="1" t="s">
        <v>385</v>
      </c>
      <c r="I387" s="1" t="s">
        <v>449</v>
      </c>
      <c r="J387" s="1" t="s">
        <v>438</v>
      </c>
      <c r="L387" s="84"/>
      <c r="O387" s="1" t="s">
        <v>109</v>
      </c>
      <c r="P387" s="5">
        <v>0.2</v>
      </c>
      <c r="Q387" s="5" t="s">
        <v>198</v>
      </c>
      <c r="R387" s="1">
        <v>110</v>
      </c>
      <c r="S387" s="1">
        <v>110</v>
      </c>
      <c r="V387" s="1">
        <v>1140</v>
      </c>
      <c r="W387" s="1">
        <v>70</v>
      </c>
      <c r="X387" s="1" t="s">
        <v>237</v>
      </c>
      <c r="AA387" s="1" t="s">
        <v>100</v>
      </c>
      <c r="AB387" s="4">
        <v>31048</v>
      </c>
      <c r="AC387" s="1" t="s">
        <v>101</v>
      </c>
      <c r="AD387" s="1" t="s">
        <v>191</v>
      </c>
      <c r="AE387" s="14" t="s">
        <v>450</v>
      </c>
      <c r="AF387" s="1" t="s">
        <v>441</v>
      </c>
      <c r="AH387" s="1" t="s">
        <v>75</v>
      </c>
      <c r="AI387" s="4">
        <v>44827</v>
      </c>
      <c r="AJ387" s="12" t="s">
        <v>451</v>
      </c>
      <c r="AM387" s="66" t="str">
        <f t="shared" ref="AM387:AM450" si="6">ExtrairCaminhoHiperlink(AJ387)</f>
        <v>https://ensinoiptbr-my.sharepoint.com/personal/ericaugustin_ipt_br/Documents/Documentos/Prototipos/2023/Projeto Controle Ativos/SistemaAtivos2/:f:/s/ControledeAtivos/EpKJHds-hFdFjHhPh_YALaEBE0mEQnyf4IF6ykbpfjyQQA?e=dmYhJn</v>
      </c>
    </row>
    <row r="388" spans="1:39" ht="81" x14ac:dyDescent="0.35">
      <c r="A388" s="1" t="s">
        <v>26</v>
      </c>
      <c r="B388" s="1">
        <v>10</v>
      </c>
      <c r="C388" s="1" t="s">
        <v>124</v>
      </c>
      <c r="D388" s="1" t="s">
        <v>739</v>
      </c>
      <c r="F388" s="1" t="s">
        <v>452</v>
      </c>
      <c r="H388" s="1" t="s">
        <v>385</v>
      </c>
      <c r="I388" s="1" t="s">
        <v>451</v>
      </c>
      <c r="J388" s="1" t="s">
        <v>453</v>
      </c>
      <c r="O388" s="1" t="s">
        <v>109</v>
      </c>
      <c r="P388" s="1">
        <v>1</v>
      </c>
      <c r="Q388" s="1" t="s">
        <v>235</v>
      </c>
      <c r="R388" s="1">
        <v>220</v>
      </c>
      <c r="S388" s="1">
        <v>220</v>
      </c>
      <c r="V388" s="1" t="s">
        <v>454</v>
      </c>
      <c r="AA388" s="1" t="s">
        <v>119</v>
      </c>
      <c r="AB388" s="4">
        <v>29952</v>
      </c>
      <c r="AC388" s="1" t="s">
        <v>84</v>
      </c>
      <c r="AD388" s="1" t="s">
        <v>72</v>
      </c>
      <c r="AE388" s="14" t="s">
        <v>455</v>
      </c>
      <c r="AF388" s="1" t="s">
        <v>456</v>
      </c>
      <c r="AH388" s="1" t="s">
        <v>75</v>
      </c>
      <c r="AI388" s="4">
        <v>44827</v>
      </c>
      <c r="AJ388" s="12" t="s">
        <v>386</v>
      </c>
      <c r="AM388" s="66" t="str">
        <f t="shared" si="6"/>
        <v>https://ensinoiptbr-my.sharepoint.com/personal/ericaugustin_ipt_br/Documents/Documentos/Prototipos/2023/Projeto Controle Ativos/SistemaAtivos2/:f:/s/ControledeAtivos/EmRSnXA-gu5KujKqYahkJUABRqH2oEXw-uh3dihZIY8TjQ?e=MDvLvj</v>
      </c>
    </row>
    <row r="389" spans="1:39" ht="81" x14ac:dyDescent="0.35">
      <c r="A389" s="1" t="s">
        <v>26</v>
      </c>
      <c r="B389" s="1">
        <v>10</v>
      </c>
      <c r="C389" s="1" t="s">
        <v>130</v>
      </c>
      <c r="D389" s="1" t="s">
        <v>739</v>
      </c>
      <c r="E389" s="1" t="s">
        <v>146</v>
      </c>
      <c r="F389" s="1" t="s">
        <v>457</v>
      </c>
      <c r="H389" s="1" t="s">
        <v>458</v>
      </c>
      <c r="I389" s="1" t="s">
        <v>459</v>
      </c>
      <c r="J389" s="1" t="s">
        <v>460</v>
      </c>
      <c r="O389" s="1" t="s">
        <v>135</v>
      </c>
      <c r="P389" s="1">
        <v>1400</v>
      </c>
      <c r="Q389" s="1" t="s">
        <v>97</v>
      </c>
      <c r="R389" s="1">
        <v>110</v>
      </c>
      <c r="U389" s="1" t="s">
        <v>330</v>
      </c>
      <c r="V389" s="1" t="s">
        <v>461</v>
      </c>
      <c r="AA389" s="1" t="s">
        <v>119</v>
      </c>
      <c r="AC389" s="1" t="s">
        <v>84</v>
      </c>
      <c r="AF389" s="1" t="s">
        <v>462</v>
      </c>
      <c r="AH389" s="1" t="s">
        <v>154</v>
      </c>
      <c r="AI389" s="4">
        <v>44813</v>
      </c>
      <c r="AJ389" s="12" t="s">
        <v>459</v>
      </c>
      <c r="AM389" s="66" t="str">
        <f t="shared" si="6"/>
        <v>https://ensinoiptbr-my.sharepoint.com/personal/ericaugustin_ipt_br/Documents/Documentos/Prototipos/2023/Projeto Controle Ativos/SistemaAtivos2/:f:/s/ControledeAtivos/Er6xQ8Pc6npJiOjKJKGwcvwBmLvhxE3fdBWxK3wRoHTGrA?e=2gZyTO</v>
      </c>
    </row>
    <row r="390" spans="1:39" ht="32.4" x14ac:dyDescent="0.35">
      <c r="A390" s="1" t="s">
        <v>26</v>
      </c>
      <c r="B390" s="1">
        <v>10</v>
      </c>
      <c r="C390" s="1" t="s">
        <v>88</v>
      </c>
      <c r="D390" s="1" t="s">
        <v>739</v>
      </c>
      <c r="F390" s="1" t="s">
        <v>463</v>
      </c>
      <c r="H390" s="1" t="s">
        <v>464</v>
      </c>
      <c r="I390" s="1" t="s">
        <v>465</v>
      </c>
      <c r="J390" s="1" t="s">
        <v>466</v>
      </c>
      <c r="O390" s="1" t="s">
        <v>67</v>
      </c>
      <c r="P390" s="1">
        <v>12</v>
      </c>
      <c r="Q390" s="1" t="s">
        <v>198</v>
      </c>
      <c r="R390" s="1">
        <v>220</v>
      </c>
      <c r="S390" s="1">
        <v>220</v>
      </c>
      <c r="T390" s="1" t="s">
        <v>69</v>
      </c>
      <c r="V390" s="1">
        <v>7014</v>
      </c>
      <c r="AA390" s="1" t="s">
        <v>119</v>
      </c>
      <c r="AB390" s="4">
        <v>37622</v>
      </c>
      <c r="AC390" s="1" t="s">
        <v>467</v>
      </c>
      <c r="AD390" s="1" t="s">
        <v>72</v>
      </c>
      <c r="AE390" s="14" t="s">
        <v>468</v>
      </c>
      <c r="AF390" s="1" t="s">
        <v>469</v>
      </c>
      <c r="AH390" s="1" t="s">
        <v>75</v>
      </c>
      <c r="AI390" s="4">
        <v>44837</v>
      </c>
      <c r="AJ390" s="12" t="s">
        <v>465</v>
      </c>
      <c r="AM390" s="66" t="str">
        <f t="shared" si="6"/>
        <v>https://ensinoiptbr.sharepoint.com/:f:/s/ControledeAtivos/EnAzZF9qGABMn3jKALt7rFABevB7RAbhn1E5bN6yjjG0yA?e=lqqgx0</v>
      </c>
    </row>
    <row r="391" spans="1:39" ht="81" x14ac:dyDescent="0.35">
      <c r="A391" s="1" t="s">
        <v>26</v>
      </c>
      <c r="B391" s="1">
        <v>10</v>
      </c>
      <c r="C391" s="1" t="s">
        <v>105</v>
      </c>
      <c r="D391" s="1" t="s">
        <v>739</v>
      </c>
      <c r="F391" s="1" t="s">
        <v>470</v>
      </c>
      <c r="H391" s="1" t="s">
        <v>464</v>
      </c>
      <c r="I391" s="1" t="s">
        <v>471</v>
      </c>
      <c r="J391" s="1" t="s">
        <v>472</v>
      </c>
      <c r="O391" s="1" t="s">
        <v>109</v>
      </c>
      <c r="P391" s="1">
        <v>3000</v>
      </c>
      <c r="Q391" s="1" t="s">
        <v>97</v>
      </c>
      <c r="R391" s="1">
        <v>220</v>
      </c>
      <c r="S391" s="1">
        <v>220</v>
      </c>
      <c r="AB391" s="4">
        <v>41275</v>
      </c>
      <c r="AD391" s="1" t="s">
        <v>72</v>
      </c>
      <c r="AE391" s="14" t="s">
        <v>473</v>
      </c>
      <c r="AF391" s="1" t="s">
        <v>474</v>
      </c>
      <c r="AH391" s="1" t="s">
        <v>75</v>
      </c>
      <c r="AI391" s="4">
        <v>44820</v>
      </c>
      <c r="AJ391" s="12" t="s">
        <v>471</v>
      </c>
      <c r="AM391" s="66" t="str">
        <f t="shared" si="6"/>
        <v>https://ensinoiptbr-my.sharepoint.com/personal/ericaugustin_ipt_br/Documents/Documentos/Prototipos/2023/Projeto Controle Ativos/SistemaAtivos2/:f:/s/ControledeAtivos/EhZTcn3S9y9AovIXP9kGuSQBOPVq7KY6JtExupNYz3sZKQ?e=ibFNn8</v>
      </c>
    </row>
    <row r="392" spans="1:39" ht="81" x14ac:dyDescent="0.35">
      <c r="A392" s="1" t="s">
        <v>26</v>
      </c>
      <c r="B392" s="1">
        <v>10</v>
      </c>
      <c r="C392" s="1" t="s">
        <v>105</v>
      </c>
      <c r="D392" s="1" t="s">
        <v>739</v>
      </c>
      <c r="F392" s="1" t="s">
        <v>470</v>
      </c>
      <c r="H392" s="1" t="s">
        <v>464</v>
      </c>
      <c r="I392" s="1" t="s">
        <v>475</v>
      </c>
      <c r="J392" s="1" t="s">
        <v>466</v>
      </c>
      <c r="O392" s="1" t="s">
        <v>109</v>
      </c>
      <c r="P392" s="1">
        <v>1.1000000000000001</v>
      </c>
      <c r="Q392" s="1" t="s">
        <v>198</v>
      </c>
      <c r="R392" s="1">
        <v>220</v>
      </c>
      <c r="S392" s="1">
        <v>220</v>
      </c>
      <c r="AB392" s="4">
        <v>41275</v>
      </c>
      <c r="AD392" s="1" t="s">
        <v>72</v>
      </c>
      <c r="AE392" s="14" t="s">
        <v>476</v>
      </c>
      <c r="AF392" s="1" t="s">
        <v>474</v>
      </c>
      <c r="AH392" s="1" t="s">
        <v>75</v>
      </c>
      <c r="AI392" s="4">
        <v>44820</v>
      </c>
      <c r="AJ392" s="12" t="s">
        <v>475</v>
      </c>
      <c r="AM392" s="66" t="str">
        <f t="shared" si="6"/>
        <v>https://ensinoiptbr-my.sharepoint.com/personal/ericaugustin_ipt_br/Documents/Documentos/Prototipos/2023/Projeto Controle Ativos/SistemaAtivos2/:f:/s/ControledeAtivos/EtFCklkKvHFOrB1tHWPjHxcBG4XVrGWYME5IJiozvh1LDg?e=SVKonQ</v>
      </c>
    </row>
    <row r="393" spans="1:39" ht="32.4" x14ac:dyDescent="0.35">
      <c r="A393" s="1" t="s">
        <v>26</v>
      </c>
      <c r="B393" s="1">
        <v>10</v>
      </c>
      <c r="C393" s="1" t="s">
        <v>77</v>
      </c>
      <c r="D393" s="1" t="s">
        <v>739</v>
      </c>
      <c r="F393" s="1" t="s">
        <v>477</v>
      </c>
      <c r="H393" s="1" t="s">
        <v>478</v>
      </c>
      <c r="I393" s="1" t="s">
        <v>479</v>
      </c>
      <c r="J393" s="1" t="s">
        <v>480</v>
      </c>
      <c r="O393" s="1" t="s">
        <v>81</v>
      </c>
      <c r="P393" s="5">
        <v>1</v>
      </c>
      <c r="Q393" s="5" t="s">
        <v>68</v>
      </c>
      <c r="R393" s="1">
        <v>220</v>
      </c>
      <c r="S393" s="1">
        <v>220</v>
      </c>
      <c r="V393" s="1" t="s">
        <v>481</v>
      </c>
      <c r="AD393" s="1" t="s">
        <v>72</v>
      </c>
      <c r="AE393" s="14" t="s">
        <v>482</v>
      </c>
      <c r="AF393" s="1" t="s">
        <v>483</v>
      </c>
      <c r="AH393" s="1" t="s">
        <v>75</v>
      </c>
      <c r="AI393" s="4">
        <v>44837</v>
      </c>
      <c r="AJ393" s="12" t="s">
        <v>479</v>
      </c>
      <c r="AM393" s="66" t="str">
        <f t="shared" si="6"/>
        <v>https://ensinoiptbr.sharepoint.com/:f:/s/ControledeAtivos/EoGdr-7XLmlEqbji0SYVL5EBC8AEOfOaeXw0ty2DE1pd8g?e=UGyIjW</v>
      </c>
    </row>
    <row r="394" spans="1:39" ht="81" x14ac:dyDescent="0.35">
      <c r="A394" s="1" t="s">
        <v>26</v>
      </c>
      <c r="B394" s="1">
        <v>10</v>
      </c>
      <c r="C394" s="1" t="s">
        <v>195</v>
      </c>
      <c r="D394" s="1" t="s">
        <v>739</v>
      </c>
      <c r="F394" s="1" t="s">
        <v>484</v>
      </c>
      <c r="H394" s="1" t="s">
        <v>478</v>
      </c>
      <c r="I394" s="1" t="s">
        <v>485</v>
      </c>
      <c r="J394" s="1" t="s">
        <v>486</v>
      </c>
      <c r="O394" s="1" t="s">
        <v>81</v>
      </c>
      <c r="P394" s="1">
        <v>400</v>
      </c>
      <c r="Q394" s="1" t="s">
        <v>97</v>
      </c>
      <c r="R394" s="1">
        <v>100</v>
      </c>
      <c r="S394" s="1">
        <v>100</v>
      </c>
      <c r="U394" s="1" t="s">
        <v>98</v>
      </c>
      <c r="V394" s="1" t="s">
        <v>487</v>
      </c>
      <c r="AA394" s="1" t="s">
        <v>100</v>
      </c>
      <c r="AB394" s="4">
        <v>31048</v>
      </c>
      <c r="AC394" s="1" t="s">
        <v>101</v>
      </c>
      <c r="AD394" s="1" t="s">
        <v>72</v>
      </c>
      <c r="AE394" s="14" t="s">
        <v>488</v>
      </c>
      <c r="AF394" s="1" t="s">
        <v>489</v>
      </c>
      <c r="AH394" s="1" t="s">
        <v>112</v>
      </c>
      <c r="AI394" s="4">
        <v>44834</v>
      </c>
      <c r="AJ394" s="12" t="s">
        <v>485</v>
      </c>
      <c r="AM394" s="66" t="str">
        <f t="shared" si="6"/>
        <v>https://ensinoiptbr-my.sharepoint.com/personal/ericaugustin_ipt_br/Documents/Documentos/Prototipos/2023/Projeto Controle Ativos/SistemaAtivos2/:f:/s/ControledeAtivos/EnZjkDydkVhOqgQVZgzXtVkBTSgIbGvM6YsRl2DEkRmDLQ?e=IEFben</v>
      </c>
    </row>
    <row r="395" spans="1:39" ht="32.4" x14ac:dyDescent="0.35">
      <c r="A395" s="1" t="s">
        <v>26</v>
      </c>
      <c r="B395" s="1">
        <v>10</v>
      </c>
      <c r="C395" s="1" t="s">
        <v>88</v>
      </c>
      <c r="D395" s="1" t="s">
        <v>739</v>
      </c>
      <c r="F395" s="1" t="s">
        <v>490</v>
      </c>
      <c r="H395" s="1" t="s">
        <v>491</v>
      </c>
      <c r="I395" s="1" t="s">
        <v>492</v>
      </c>
      <c r="J395" s="1" t="s">
        <v>493</v>
      </c>
      <c r="O395" s="1" t="s">
        <v>67</v>
      </c>
      <c r="P395" s="1">
        <v>5</v>
      </c>
      <c r="Q395" s="1" t="s">
        <v>198</v>
      </c>
      <c r="R395" s="1">
        <v>220</v>
      </c>
      <c r="S395" s="1">
        <v>220</v>
      </c>
      <c r="T395" s="1" t="s">
        <v>69</v>
      </c>
      <c r="V395" s="1" t="s">
        <v>494</v>
      </c>
      <c r="AA395" s="1" t="s">
        <v>119</v>
      </c>
      <c r="AC395" s="1" t="s">
        <v>120</v>
      </c>
      <c r="AD395" s="1" t="s">
        <v>72</v>
      </c>
      <c r="AE395" s="14" t="s">
        <v>495</v>
      </c>
      <c r="AF395" s="1" t="s">
        <v>489</v>
      </c>
      <c r="AH395" s="1" t="s">
        <v>75</v>
      </c>
      <c r="AI395" s="4">
        <v>44834</v>
      </c>
      <c r="AJ395" s="12" t="s">
        <v>496</v>
      </c>
      <c r="AM395" s="66" t="str">
        <f t="shared" si="6"/>
        <v>https://ensinoiptbr.sharepoint.com/:f:/s/ControledeAtivos/Eoe_1Z5GAEtJphmxUs-rQjwB2XiKRDDL-nptGY0Ag7lvog?e=BdrXPQ</v>
      </c>
    </row>
    <row r="396" spans="1:39" ht="81" x14ac:dyDescent="0.35">
      <c r="A396" s="1" t="s">
        <v>26</v>
      </c>
      <c r="B396" s="1">
        <v>10</v>
      </c>
      <c r="C396" s="1" t="s">
        <v>325</v>
      </c>
      <c r="D396" s="1" t="s">
        <v>739</v>
      </c>
      <c r="F396" s="1" t="s">
        <v>497</v>
      </c>
      <c r="H396" s="1" t="s">
        <v>491</v>
      </c>
      <c r="I396" s="1" t="s">
        <v>498</v>
      </c>
      <c r="J396" s="1" t="s">
        <v>493</v>
      </c>
      <c r="O396" s="1" t="s">
        <v>234</v>
      </c>
      <c r="R396" s="1">
        <v>220</v>
      </c>
      <c r="S396" s="1">
        <v>220</v>
      </c>
      <c r="V396" s="1" t="s">
        <v>499</v>
      </c>
      <c r="AA396" s="1" t="s">
        <v>119</v>
      </c>
      <c r="AC396" s="1" t="s">
        <v>120</v>
      </c>
      <c r="AD396" s="1" t="s">
        <v>72</v>
      </c>
      <c r="AE396" s="14" t="s">
        <v>500</v>
      </c>
      <c r="AF396" s="1" t="s">
        <v>489</v>
      </c>
      <c r="AH396" s="1" t="s">
        <v>75</v>
      </c>
      <c r="AI396" s="4">
        <v>44834</v>
      </c>
      <c r="AJ396" s="12" t="s">
        <v>492</v>
      </c>
      <c r="AM396" s="66" t="str">
        <f t="shared" si="6"/>
        <v>https://ensinoiptbr-my.sharepoint.com/personal/ericaugustin_ipt_br/Documents/Documentos/Prototipos/2023/Projeto Controle Ativos/SistemaAtivos2/:f:/s/ControledeAtivos/EiWZVYxs4MlOk4QjmXgR2WoBG2jJwZ9WeArxVpsysxUwwQ?e=LgoX1z</v>
      </c>
    </row>
    <row r="397" spans="1:39" ht="81" x14ac:dyDescent="0.35">
      <c r="A397" s="1" t="s">
        <v>26</v>
      </c>
      <c r="B397" s="1">
        <v>10</v>
      </c>
      <c r="C397" s="1" t="s">
        <v>325</v>
      </c>
      <c r="D397" s="1" t="s">
        <v>739</v>
      </c>
      <c r="E397" s="1" t="s">
        <v>146</v>
      </c>
      <c r="F397" s="1" t="s">
        <v>491</v>
      </c>
      <c r="H397" s="1" t="s">
        <v>491</v>
      </c>
      <c r="I397" s="1" t="s">
        <v>505</v>
      </c>
      <c r="J397" s="1" t="s">
        <v>493</v>
      </c>
      <c r="O397" s="1" t="s">
        <v>234</v>
      </c>
      <c r="P397" s="1">
        <v>1500</v>
      </c>
      <c r="Q397" s="1" t="s">
        <v>97</v>
      </c>
      <c r="R397" s="1">
        <v>220</v>
      </c>
      <c r="V397" s="1" t="s">
        <v>506</v>
      </c>
      <c r="AE397" s="14">
        <v>3907</v>
      </c>
      <c r="AF397" s="1" t="s">
        <v>507</v>
      </c>
      <c r="AH397" s="1" t="s">
        <v>258</v>
      </c>
      <c r="AI397" s="4">
        <v>44813</v>
      </c>
      <c r="AJ397" s="12" t="s">
        <v>505</v>
      </c>
      <c r="AM397" s="66" t="str">
        <f t="shared" si="6"/>
        <v>https://ensinoiptbr-my.sharepoint.com/personal/ericaugustin_ipt_br/Documents/Documentos/Prototipos/2023/Projeto Controle Ativos/SistemaAtivos2/:f:/s/ControledeAtivos/EoViAzkdtoxGlnaUJSVusTEB0FwA0mkmGJOUiGhV_qjQxQ?e=AMvfZ4</v>
      </c>
    </row>
    <row r="398" spans="1:39" ht="81" x14ac:dyDescent="0.35">
      <c r="A398" s="1" t="s">
        <v>26</v>
      </c>
      <c r="B398" s="1">
        <v>10</v>
      </c>
      <c r="C398" s="1" t="s">
        <v>325</v>
      </c>
      <c r="D398" s="1" t="s">
        <v>739</v>
      </c>
      <c r="F398" s="1" t="s">
        <v>501</v>
      </c>
      <c r="H398" s="1" t="s">
        <v>491</v>
      </c>
      <c r="I398" s="1" t="s">
        <v>508</v>
      </c>
      <c r="J398" s="1" t="s">
        <v>214</v>
      </c>
      <c r="O398" s="1" t="s">
        <v>67</v>
      </c>
      <c r="R398" s="1">
        <v>220</v>
      </c>
      <c r="AA398" s="1" t="s">
        <v>119</v>
      </c>
      <c r="AC398" s="1" t="s">
        <v>84</v>
      </c>
      <c r="AE398" s="15">
        <v>35650</v>
      </c>
      <c r="AF398" s="1" t="s">
        <v>507</v>
      </c>
      <c r="AH398" s="1" t="s">
        <v>258</v>
      </c>
      <c r="AI398" s="4">
        <v>44813</v>
      </c>
      <c r="AJ398" s="12" t="s">
        <v>508</v>
      </c>
      <c r="AM398" s="66" t="str">
        <f t="shared" si="6"/>
        <v>https://ensinoiptbr-my.sharepoint.com/personal/ericaugustin_ipt_br/Documents/Documentos/Prototipos/2023/Projeto Controle Ativos/SistemaAtivos2/:f:/s/ControledeAtivos/EgoiZoTTZ55Muxu7Ul9__AkBseEYHFpCmTYHnIE0QnLfSQ?e=Ixrh6r</v>
      </c>
    </row>
    <row r="399" spans="1:39" ht="32.4" x14ac:dyDescent="0.35">
      <c r="A399" s="1" t="s">
        <v>26</v>
      </c>
      <c r="B399" s="1">
        <v>10</v>
      </c>
      <c r="C399" s="1" t="s">
        <v>77</v>
      </c>
      <c r="D399" s="1" t="s">
        <v>739</v>
      </c>
      <c r="F399" s="1" t="s">
        <v>509</v>
      </c>
      <c r="H399" s="1" t="s">
        <v>510</v>
      </c>
      <c r="I399" s="1" t="s">
        <v>511</v>
      </c>
      <c r="J399" s="1" t="s">
        <v>512</v>
      </c>
      <c r="O399" s="1" t="s">
        <v>81</v>
      </c>
      <c r="P399" s="18">
        <v>6.6666666666666666E-2</v>
      </c>
      <c r="Q399" s="5" t="s">
        <v>235</v>
      </c>
      <c r="R399" s="1">
        <v>220</v>
      </c>
      <c r="S399" s="1">
        <v>220</v>
      </c>
      <c r="T399" s="1" t="s">
        <v>98</v>
      </c>
      <c r="V399" s="1" t="s">
        <v>513</v>
      </c>
      <c r="Y399" s="1">
        <v>1550</v>
      </c>
      <c r="Z399" s="1" t="s">
        <v>237</v>
      </c>
      <c r="AA399" s="1" t="s">
        <v>83</v>
      </c>
      <c r="AC399" s="1" t="s">
        <v>84</v>
      </c>
      <c r="AD399" s="1" t="s">
        <v>72</v>
      </c>
      <c r="AE399" s="14" t="s">
        <v>514</v>
      </c>
      <c r="AF399" s="1" t="s">
        <v>515</v>
      </c>
      <c r="AH399" s="1" t="s">
        <v>112</v>
      </c>
      <c r="AI399" s="4">
        <v>44852</v>
      </c>
      <c r="AJ399" s="12" t="s">
        <v>511</v>
      </c>
      <c r="AM399" s="66" t="str">
        <f t="shared" si="6"/>
        <v>https://ensinoiptbr.sharepoint.com/:f:/s/ControledeAtivos/EoAJEadvSYtBkCYMG10sBpIB-lueAL9fXOjmT4AlOCoXrg?e=sgnSgq</v>
      </c>
    </row>
    <row r="400" spans="1:39" ht="32.4" x14ac:dyDescent="0.35">
      <c r="A400" s="1" t="s">
        <v>26</v>
      </c>
      <c r="B400" s="1">
        <v>10</v>
      </c>
      <c r="C400" s="1" t="s">
        <v>88</v>
      </c>
      <c r="D400" s="1" t="s">
        <v>739</v>
      </c>
      <c r="F400" s="1" t="s">
        <v>516</v>
      </c>
      <c r="H400" s="1" t="s">
        <v>510</v>
      </c>
      <c r="I400" s="1" t="s">
        <v>517</v>
      </c>
      <c r="J400" s="1" t="s">
        <v>2590</v>
      </c>
      <c r="O400" s="1" t="s">
        <v>67</v>
      </c>
      <c r="P400" s="5">
        <v>0.5</v>
      </c>
      <c r="Q400" s="5" t="s">
        <v>68</v>
      </c>
      <c r="R400" s="1">
        <v>220</v>
      </c>
      <c r="S400" s="1">
        <v>220</v>
      </c>
      <c r="AB400" s="85"/>
      <c r="AD400" s="1" t="s">
        <v>72</v>
      </c>
      <c r="AE400" s="14" t="s">
        <v>518</v>
      </c>
      <c r="AF400" s="1" t="s">
        <v>519</v>
      </c>
      <c r="AH400" s="1" t="s">
        <v>112</v>
      </c>
      <c r="AI400" s="4">
        <v>44837</v>
      </c>
      <c r="AJ400" s="12" t="s">
        <v>517</v>
      </c>
      <c r="AM400" s="66" t="str">
        <f t="shared" si="6"/>
        <v>https://ensinoiptbr.sharepoint.com/:f:/s/ControledeAtivos/Es-YFLKgmQJFrxqdOYKXOFIBOsewzxeqVnwiQitJh9hGyg?e=AaHsW7</v>
      </c>
    </row>
    <row r="401" spans="1:39" ht="32.4" x14ac:dyDescent="0.35">
      <c r="A401" s="1" t="s">
        <v>26</v>
      </c>
      <c r="B401" s="1">
        <v>10</v>
      </c>
      <c r="C401" s="1" t="s">
        <v>88</v>
      </c>
      <c r="D401" s="1" t="s">
        <v>739</v>
      </c>
      <c r="F401" s="1" t="s">
        <v>520</v>
      </c>
      <c r="H401" s="1" t="s">
        <v>521</v>
      </c>
      <c r="I401" s="1" t="s">
        <v>522</v>
      </c>
      <c r="J401" s="1" t="s">
        <v>523</v>
      </c>
      <c r="O401" s="1" t="s">
        <v>67</v>
      </c>
      <c r="P401" s="5">
        <v>10</v>
      </c>
      <c r="Q401" s="5" t="s">
        <v>68</v>
      </c>
      <c r="R401" s="1">
        <v>220</v>
      </c>
      <c r="S401" s="1">
        <v>220</v>
      </c>
      <c r="T401" s="1" t="s">
        <v>69</v>
      </c>
      <c r="V401" s="1" t="s">
        <v>524</v>
      </c>
      <c r="AA401" s="1" t="s">
        <v>119</v>
      </c>
      <c r="AB401" s="4">
        <v>39814</v>
      </c>
      <c r="AC401" s="1" t="s">
        <v>120</v>
      </c>
      <c r="AD401" s="1" t="s">
        <v>72</v>
      </c>
      <c r="AE401" s="14" t="s">
        <v>525</v>
      </c>
      <c r="AF401" s="1" t="s">
        <v>526</v>
      </c>
      <c r="AH401" s="1" t="s">
        <v>75</v>
      </c>
      <c r="AI401" s="4">
        <v>44837</v>
      </c>
      <c r="AJ401" s="12" t="s">
        <v>522</v>
      </c>
      <c r="AM401" s="66" t="str">
        <f t="shared" si="6"/>
        <v>https://ensinoiptbr.sharepoint.com/:f:/s/ControledeAtivos/EiZRPPsplvtDlw9RBnUrcH4B0sy0Gso8UfF2tcDkJFn5EA?e=FBOdMz</v>
      </c>
    </row>
    <row r="402" spans="1:39" ht="32.4" x14ac:dyDescent="0.35">
      <c r="A402" s="1" t="s">
        <v>26</v>
      </c>
      <c r="B402" s="1">
        <v>10</v>
      </c>
      <c r="C402" s="1" t="s">
        <v>88</v>
      </c>
      <c r="D402" s="1" t="s">
        <v>739</v>
      </c>
      <c r="E402" s="1" t="s">
        <v>146</v>
      </c>
      <c r="F402" s="1" t="s">
        <v>527</v>
      </c>
      <c r="H402" s="1" t="s">
        <v>521</v>
      </c>
      <c r="I402" s="1" t="s">
        <v>528</v>
      </c>
      <c r="J402" s="47" t="s">
        <v>529</v>
      </c>
      <c r="O402" s="1" t="s">
        <v>67</v>
      </c>
      <c r="P402" s="5">
        <v>0.5</v>
      </c>
      <c r="Q402" s="5" t="s">
        <v>68</v>
      </c>
      <c r="R402" s="1">
        <v>110</v>
      </c>
      <c r="S402" s="1">
        <v>220</v>
      </c>
      <c r="T402" s="1" t="s">
        <v>69</v>
      </c>
      <c r="V402" s="1" t="s">
        <v>530</v>
      </c>
      <c r="AD402" s="1" t="s">
        <v>85</v>
      </c>
      <c r="AE402" s="14" t="s">
        <v>531</v>
      </c>
      <c r="AF402" s="1" t="s">
        <v>532</v>
      </c>
      <c r="AH402" s="1" t="s">
        <v>112</v>
      </c>
      <c r="AI402" s="4">
        <v>44834</v>
      </c>
      <c r="AJ402" s="12" t="s">
        <v>528</v>
      </c>
      <c r="AM402" s="66" t="str">
        <f t="shared" si="6"/>
        <v>https://ensinoiptbr.sharepoint.com/:f:/s/ControledeAtivos/EguVK_sVEmtCqPQ5qtFkTj0BGFz0gFDRbo3CJ7OomVOPDQ?e=V4Og89</v>
      </c>
    </row>
    <row r="403" spans="1:39" ht="32.4" x14ac:dyDescent="0.35">
      <c r="A403" s="1" t="s">
        <v>26</v>
      </c>
      <c r="B403" s="1">
        <v>10</v>
      </c>
      <c r="C403" s="1" t="s">
        <v>88</v>
      </c>
      <c r="D403" s="1" t="s">
        <v>739</v>
      </c>
      <c r="F403" s="1" t="s">
        <v>527</v>
      </c>
      <c r="H403" s="1" t="s">
        <v>521</v>
      </c>
      <c r="I403" s="1" t="s">
        <v>533</v>
      </c>
      <c r="J403" s="1" t="s">
        <v>352</v>
      </c>
      <c r="O403" s="1" t="s">
        <v>67</v>
      </c>
      <c r="P403" s="1">
        <v>1.5</v>
      </c>
      <c r="Q403" s="1" t="s">
        <v>198</v>
      </c>
      <c r="R403" s="1">
        <v>220</v>
      </c>
      <c r="S403" s="1">
        <v>380</v>
      </c>
      <c r="U403" s="1" t="s">
        <v>330</v>
      </c>
      <c r="V403" s="1" t="s">
        <v>534</v>
      </c>
      <c r="AA403" s="1" t="s">
        <v>119</v>
      </c>
      <c r="AB403" s="4">
        <v>28491</v>
      </c>
      <c r="AC403" s="1" t="s">
        <v>84</v>
      </c>
      <c r="AD403" s="1" t="s">
        <v>72</v>
      </c>
      <c r="AE403" s="14" t="s">
        <v>535</v>
      </c>
      <c r="AF403" s="1" t="s">
        <v>532</v>
      </c>
      <c r="AH403" s="1" t="s">
        <v>75</v>
      </c>
      <c r="AI403" s="4">
        <v>44834</v>
      </c>
      <c r="AJ403" s="12" t="s">
        <v>533</v>
      </c>
      <c r="AM403" s="66" t="str">
        <f t="shared" si="6"/>
        <v>https://ensinoiptbr.sharepoint.com/:f:/s/ControledeAtivos/Es1KFXxdORlMmeohFKbBhA4BEH4Cl0f2wmowcgbgSFHdGg?e=mjufhT</v>
      </c>
    </row>
    <row r="404" spans="1:39" s="43" customFormat="1" ht="32.4" x14ac:dyDescent="0.35">
      <c r="A404" s="1" t="s">
        <v>26</v>
      </c>
      <c r="B404" s="1">
        <v>10</v>
      </c>
      <c r="C404" s="1" t="s">
        <v>88</v>
      </c>
      <c r="D404" s="1" t="s">
        <v>739</v>
      </c>
      <c r="E404" s="1"/>
      <c r="F404" s="1" t="s">
        <v>527</v>
      </c>
      <c r="G404" s="1"/>
      <c r="H404" s="1" t="s">
        <v>521</v>
      </c>
      <c r="I404" s="1" t="s">
        <v>536</v>
      </c>
      <c r="J404" s="1" t="s">
        <v>214</v>
      </c>
      <c r="K404" s="1"/>
      <c r="L404" s="68"/>
      <c r="M404" s="1"/>
      <c r="N404" s="1"/>
      <c r="O404" s="1" t="s">
        <v>67</v>
      </c>
      <c r="P404" s="1"/>
      <c r="Q404" s="1"/>
      <c r="R404" s="1">
        <v>220</v>
      </c>
      <c r="S404" s="1">
        <v>220</v>
      </c>
      <c r="T404" s="1"/>
      <c r="U404" s="1" t="s">
        <v>330</v>
      </c>
      <c r="V404" s="1" t="s">
        <v>537</v>
      </c>
      <c r="W404" s="1"/>
      <c r="X404" s="1"/>
      <c r="Y404" s="1"/>
      <c r="Z404" s="1"/>
      <c r="AA404" s="1" t="s">
        <v>119</v>
      </c>
      <c r="AB404" s="4">
        <v>27395</v>
      </c>
      <c r="AC404" s="1" t="s">
        <v>84</v>
      </c>
      <c r="AD404" s="1"/>
      <c r="AE404" s="14"/>
      <c r="AF404" s="1" t="s">
        <v>532</v>
      </c>
      <c r="AG404" s="5"/>
      <c r="AH404" s="1" t="s">
        <v>75</v>
      </c>
      <c r="AI404" s="4">
        <v>44862</v>
      </c>
      <c r="AJ404" s="12" t="s">
        <v>536</v>
      </c>
      <c r="AK404" s="2"/>
      <c r="AM404" s="66" t="str">
        <f t="shared" si="6"/>
        <v>https://ensinoiptbr.sharepoint.com/:f:/s/ControledeAtivos/EupNZDWAJCVAsfSKQr5SQaIB6bZiszjxlPZtTThbn10nyA?e=x3sdpT</v>
      </c>
    </row>
    <row r="405" spans="1:39" ht="32.4" x14ac:dyDescent="0.35">
      <c r="A405" s="1" t="s">
        <v>26</v>
      </c>
      <c r="B405" s="1">
        <v>10</v>
      </c>
      <c r="C405" s="1" t="s">
        <v>88</v>
      </c>
      <c r="D405" s="1" t="s">
        <v>739</v>
      </c>
      <c r="F405" s="1" t="s">
        <v>527</v>
      </c>
      <c r="H405" s="1" t="s">
        <v>521</v>
      </c>
      <c r="I405" s="1" t="s">
        <v>538</v>
      </c>
      <c r="J405" s="1" t="s">
        <v>539</v>
      </c>
      <c r="O405" s="1" t="s">
        <v>67</v>
      </c>
      <c r="P405" s="1">
        <v>2.2000000000000002</v>
      </c>
      <c r="Q405" s="1" t="s">
        <v>198</v>
      </c>
      <c r="R405" s="1">
        <v>220</v>
      </c>
      <c r="S405" s="1">
        <v>220</v>
      </c>
      <c r="U405" s="1" t="s">
        <v>330</v>
      </c>
      <c r="V405" s="1" t="s">
        <v>540</v>
      </c>
      <c r="AA405" s="1" t="s">
        <v>83</v>
      </c>
      <c r="AB405" s="4">
        <v>31413</v>
      </c>
      <c r="AC405" s="1" t="s">
        <v>84</v>
      </c>
      <c r="AD405" s="1" t="s">
        <v>72</v>
      </c>
      <c r="AE405" s="14" t="s">
        <v>541</v>
      </c>
      <c r="AF405" s="1" t="s">
        <v>532</v>
      </c>
      <c r="AG405" s="5"/>
      <c r="AH405" s="1" t="s">
        <v>75</v>
      </c>
      <c r="AI405" s="4">
        <v>44834</v>
      </c>
      <c r="AJ405" s="12" t="s">
        <v>538</v>
      </c>
      <c r="AM405" s="66" t="str">
        <f t="shared" si="6"/>
        <v>https://ensinoiptbr.sharepoint.com/:f:/s/ControledeAtivos/EuUWAOVbDLJOguZozMwB8I8B1j13F8iJ7C6Tpw2eUJa0SA?e=Da2vXK</v>
      </c>
    </row>
    <row r="406" spans="1:39" ht="32.4" x14ac:dyDescent="0.35">
      <c r="A406" s="1" t="s">
        <v>26</v>
      </c>
      <c r="B406" s="1">
        <v>10</v>
      </c>
      <c r="C406" s="1" t="s">
        <v>88</v>
      </c>
      <c r="D406" s="1" t="s">
        <v>739</v>
      </c>
      <c r="E406" s="1" t="s">
        <v>146</v>
      </c>
      <c r="F406" s="1" t="s">
        <v>542</v>
      </c>
      <c r="H406" s="1" t="s">
        <v>521</v>
      </c>
      <c r="I406" s="1" t="s">
        <v>543</v>
      </c>
      <c r="J406" s="1" t="s">
        <v>108</v>
      </c>
      <c r="O406" s="1" t="s">
        <v>67</v>
      </c>
      <c r="P406" s="5">
        <v>0.5</v>
      </c>
      <c r="Q406" s="5" t="s">
        <v>68</v>
      </c>
      <c r="R406" s="1">
        <v>220</v>
      </c>
      <c r="S406" s="1">
        <v>220</v>
      </c>
      <c r="U406" s="1" t="s">
        <v>69</v>
      </c>
      <c r="AD406" s="1" t="s">
        <v>85</v>
      </c>
      <c r="AE406" s="14" t="s">
        <v>544</v>
      </c>
      <c r="AF406" s="1" t="s">
        <v>545</v>
      </c>
      <c r="AH406" s="1" t="s">
        <v>75</v>
      </c>
      <c r="AI406" s="4">
        <v>44834</v>
      </c>
      <c r="AJ406" s="12" t="s">
        <v>543</v>
      </c>
      <c r="AM406" s="66" t="str">
        <f t="shared" si="6"/>
        <v>https://ensinoiptbr.sharepoint.com/:f:/s/ControledeAtivos/EjF55H0QdiVCp3HzaShqfDIBAVDJWUJ-8TXdlKE-ePfYfQ?e=1hid1v</v>
      </c>
    </row>
    <row r="407" spans="1:39" s="43" customFormat="1" ht="43.2" x14ac:dyDescent="0.35">
      <c r="A407" s="1" t="s">
        <v>26</v>
      </c>
      <c r="B407" s="1">
        <v>10</v>
      </c>
      <c r="C407" s="1" t="s">
        <v>88</v>
      </c>
      <c r="D407" s="1" t="s">
        <v>739</v>
      </c>
      <c r="E407" s="1" t="s">
        <v>546</v>
      </c>
      <c r="F407" s="1" t="s">
        <v>547</v>
      </c>
      <c r="G407" s="1"/>
      <c r="H407" s="1" t="s">
        <v>547</v>
      </c>
      <c r="I407" s="1" t="s">
        <v>548</v>
      </c>
      <c r="J407" s="1" t="s">
        <v>549</v>
      </c>
      <c r="K407" s="1"/>
      <c r="L407" s="68"/>
      <c r="M407" s="1"/>
      <c r="N407" s="1"/>
      <c r="O407" s="1" t="s">
        <v>67</v>
      </c>
      <c r="P407" s="1"/>
      <c r="Q407" s="1"/>
      <c r="R407" s="1"/>
      <c r="S407" s="1"/>
      <c r="T407" s="1"/>
      <c r="U407" s="1"/>
      <c r="V407" s="1" t="s">
        <v>550</v>
      </c>
      <c r="W407" s="1">
        <v>60</v>
      </c>
      <c r="X407" s="1" t="s">
        <v>551</v>
      </c>
      <c r="Y407" s="1"/>
      <c r="Z407" s="1"/>
      <c r="AA407" s="1" t="s">
        <v>100</v>
      </c>
      <c r="AB407" s="4"/>
      <c r="AC407" s="1"/>
      <c r="AD407" s="1" t="s">
        <v>191</v>
      </c>
      <c r="AE407" s="14" t="s">
        <v>552</v>
      </c>
      <c r="AF407" s="1" t="s">
        <v>553</v>
      </c>
      <c r="AG407" s="1"/>
      <c r="AH407" s="1" t="s">
        <v>75</v>
      </c>
      <c r="AI407" s="4">
        <v>44852</v>
      </c>
      <c r="AJ407" s="12" t="s">
        <v>548</v>
      </c>
      <c r="AK407" s="2"/>
      <c r="AM407" s="66" t="str">
        <f t="shared" si="6"/>
        <v>https://ensinoiptbr.sharepoint.com/:f:/s/ControledeAtivos/ErSqYL888f5NjvhI1o7RrjMBpZWwpe53naiUzmcsRAo12w?e=28Donj</v>
      </c>
    </row>
    <row r="408" spans="1:39" ht="32.4" x14ac:dyDescent="0.35">
      <c r="A408" s="1" t="s">
        <v>26</v>
      </c>
      <c r="B408" s="1">
        <v>10</v>
      </c>
      <c r="C408" s="1" t="s">
        <v>88</v>
      </c>
      <c r="D408" s="1" t="s">
        <v>739</v>
      </c>
      <c r="F408" s="1" t="s">
        <v>554</v>
      </c>
      <c r="H408" s="1" t="s">
        <v>547</v>
      </c>
      <c r="I408" s="1" t="s">
        <v>555</v>
      </c>
      <c r="J408" s="1" t="s">
        <v>556</v>
      </c>
      <c r="O408" s="1" t="s">
        <v>67</v>
      </c>
      <c r="R408" s="1">
        <v>220</v>
      </c>
      <c r="S408" s="1">
        <v>220</v>
      </c>
      <c r="V408" s="1" t="s">
        <v>557</v>
      </c>
      <c r="W408" s="1">
        <v>175</v>
      </c>
      <c r="X408" s="1" t="s">
        <v>558</v>
      </c>
      <c r="Y408" s="1">
        <v>60</v>
      </c>
      <c r="Z408" s="1" t="s">
        <v>559</v>
      </c>
      <c r="AF408" s="1" t="s">
        <v>560</v>
      </c>
      <c r="AH408" s="1" t="s">
        <v>75</v>
      </c>
      <c r="AI408" s="4">
        <v>44834</v>
      </c>
      <c r="AJ408" s="12" t="s">
        <v>555</v>
      </c>
      <c r="AM408" s="66" t="str">
        <f t="shared" si="6"/>
        <v>https://ensinoiptbr.sharepoint.com/:f:/s/ControledeAtivos/EkbZx8CJjiRBlH8KqNa6znMBjVXLqLJTFvdhN3Z1jRLl3g?e=bF5kso</v>
      </c>
    </row>
    <row r="409" spans="1:39" ht="57.6" x14ac:dyDescent="0.35">
      <c r="A409" s="1" t="s">
        <v>26</v>
      </c>
      <c r="B409" s="1">
        <v>10</v>
      </c>
      <c r="C409" s="1" t="s">
        <v>195</v>
      </c>
      <c r="D409" s="1" t="s">
        <v>739</v>
      </c>
      <c r="F409" s="1" t="s">
        <v>240</v>
      </c>
      <c r="H409" s="1" t="s">
        <v>561</v>
      </c>
      <c r="I409" s="1" t="s">
        <v>562</v>
      </c>
      <c r="J409" s="1" t="s">
        <v>563</v>
      </c>
      <c r="O409" s="1" t="s">
        <v>81</v>
      </c>
      <c r="P409" s="5"/>
      <c r="Q409" s="5"/>
      <c r="AC409" s="1" t="s">
        <v>84</v>
      </c>
      <c r="AD409" s="1" t="s">
        <v>72</v>
      </c>
      <c r="AE409" s="14" t="s">
        <v>564</v>
      </c>
      <c r="AF409" s="1" t="s">
        <v>565</v>
      </c>
      <c r="AH409" s="1" t="s">
        <v>154</v>
      </c>
      <c r="AI409" s="4">
        <v>44852</v>
      </c>
      <c r="AJ409" s="12" t="s">
        <v>562</v>
      </c>
      <c r="AK409" s="2" t="s">
        <v>566</v>
      </c>
      <c r="AM409" s="66" t="str">
        <f t="shared" si="6"/>
        <v>https://ensinoiptbr.sharepoint.com/:f:/s/ControledeAtivos/EiwA2uEZerVMiaKWCbaXjVUBgNusqsKxZB1FkLcLewN6ow?e=LMLLSW</v>
      </c>
    </row>
    <row r="410" spans="1:39" s="43" customFormat="1" ht="32.4" x14ac:dyDescent="0.35">
      <c r="A410" s="1" t="s">
        <v>26</v>
      </c>
      <c r="B410" s="1">
        <v>10</v>
      </c>
      <c r="C410" s="1" t="s">
        <v>77</v>
      </c>
      <c r="D410" s="1" t="s">
        <v>739</v>
      </c>
      <c r="E410" s="1" t="s">
        <v>420</v>
      </c>
      <c r="F410" s="1" t="s">
        <v>567</v>
      </c>
      <c r="G410" s="1"/>
      <c r="H410" s="1" t="s">
        <v>561</v>
      </c>
      <c r="I410" s="1" t="s">
        <v>568</v>
      </c>
      <c r="J410" s="1" t="s">
        <v>80</v>
      </c>
      <c r="K410" s="1"/>
      <c r="L410" s="68"/>
      <c r="M410" s="1"/>
      <c r="N410" s="1"/>
      <c r="O410" s="1" t="s">
        <v>81</v>
      </c>
      <c r="P410" s="5">
        <v>0.5</v>
      </c>
      <c r="Q410" s="5" t="s">
        <v>235</v>
      </c>
      <c r="R410" s="1">
        <v>220</v>
      </c>
      <c r="S410" s="1">
        <v>220</v>
      </c>
      <c r="T410" s="1" t="s">
        <v>69</v>
      </c>
      <c r="U410" s="1"/>
      <c r="V410" s="1" t="s">
        <v>569</v>
      </c>
      <c r="W410" s="1"/>
      <c r="X410" s="1"/>
      <c r="Y410" s="1">
        <v>1800</v>
      </c>
      <c r="Z410" s="1" t="s">
        <v>237</v>
      </c>
      <c r="AA410" s="1"/>
      <c r="AB410" s="4"/>
      <c r="AC410" s="1"/>
      <c r="AD410" s="1"/>
      <c r="AE410" s="14"/>
      <c r="AF410" s="1" t="s">
        <v>297</v>
      </c>
      <c r="AG410" s="1"/>
      <c r="AH410" s="1" t="s">
        <v>75</v>
      </c>
      <c r="AI410" s="4">
        <v>44852</v>
      </c>
      <c r="AJ410" s="12" t="s">
        <v>568</v>
      </c>
      <c r="AK410" s="2"/>
      <c r="AM410" s="66" t="str">
        <f t="shared" si="6"/>
        <v>https://ensinoiptbr.sharepoint.com/:f:/s/ControledeAtivos/Eh1H7um41RtDmagvxAJbzxgBsnOdXqE7dGLkGUjJF8u3NQ?e=kD8MDT</v>
      </c>
    </row>
    <row r="411" spans="1:39" s="43" customFormat="1" ht="32.4" x14ac:dyDescent="0.35">
      <c r="A411" s="1" t="s">
        <v>26</v>
      </c>
      <c r="B411" s="1">
        <v>10</v>
      </c>
      <c r="C411" s="1" t="s">
        <v>77</v>
      </c>
      <c r="D411" s="1" t="s">
        <v>739</v>
      </c>
      <c r="E411" s="1"/>
      <c r="F411" s="1" t="s">
        <v>570</v>
      </c>
      <c r="G411" s="1"/>
      <c r="H411" s="1" t="s">
        <v>571</v>
      </c>
      <c r="I411" s="1" t="s">
        <v>572</v>
      </c>
      <c r="J411" s="1" t="s">
        <v>573</v>
      </c>
      <c r="K411" s="1"/>
      <c r="L411" s="68"/>
      <c r="M411" s="1"/>
      <c r="N411" s="1"/>
      <c r="O411" s="1" t="s">
        <v>234</v>
      </c>
      <c r="P411" s="5">
        <v>0.5</v>
      </c>
      <c r="Q411" s="5" t="s">
        <v>235</v>
      </c>
      <c r="R411" s="1">
        <v>220</v>
      </c>
      <c r="S411" s="1">
        <v>220</v>
      </c>
      <c r="T411" s="1" t="s">
        <v>69</v>
      </c>
      <c r="U411" s="1"/>
      <c r="V411" s="1" t="s">
        <v>574</v>
      </c>
      <c r="W411" s="1">
        <v>150</v>
      </c>
      <c r="X411" s="1" t="s">
        <v>575</v>
      </c>
      <c r="Y411" s="1"/>
      <c r="Z411" s="1"/>
      <c r="AA411" s="1" t="s">
        <v>83</v>
      </c>
      <c r="AB411" s="4">
        <v>24838</v>
      </c>
      <c r="AC411" s="1" t="s">
        <v>84</v>
      </c>
      <c r="AD411" s="1" t="s">
        <v>72</v>
      </c>
      <c r="AE411" s="14" t="s">
        <v>86</v>
      </c>
      <c r="AF411" s="1" t="s">
        <v>576</v>
      </c>
      <c r="AG411" s="1"/>
      <c r="AH411" s="1" t="s">
        <v>75</v>
      </c>
      <c r="AI411" s="4">
        <v>44852</v>
      </c>
      <c r="AJ411" s="12" t="s">
        <v>572</v>
      </c>
      <c r="AK411" s="2"/>
      <c r="AM411" s="66" t="str">
        <f t="shared" si="6"/>
        <v>https://ensinoiptbr.sharepoint.com/:f:/s/ControledeAtivos/EpWpxEzL_elPkpRmO-Et1b8BwS825HNnQ6ztiY1R-lqXhQ?e=nl6guc</v>
      </c>
    </row>
    <row r="412" spans="1:39" s="43" customFormat="1" ht="32.4" x14ac:dyDescent="0.35">
      <c r="A412" s="1" t="s">
        <v>26</v>
      </c>
      <c r="B412" s="1">
        <v>10</v>
      </c>
      <c r="C412" s="1" t="s">
        <v>77</v>
      </c>
      <c r="D412" s="1" t="s">
        <v>739</v>
      </c>
      <c r="E412" s="1"/>
      <c r="F412" s="1" t="s">
        <v>577</v>
      </c>
      <c r="G412" s="1"/>
      <c r="H412" s="1" t="s">
        <v>571</v>
      </c>
      <c r="I412" s="1" t="s">
        <v>578</v>
      </c>
      <c r="J412" s="1" t="s">
        <v>573</v>
      </c>
      <c r="K412" s="1"/>
      <c r="L412" s="68"/>
      <c r="M412" s="1"/>
      <c r="N412" s="1"/>
      <c r="O412" s="1" t="s">
        <v>81</v>
      </c>
      <c r="P412" s="5">
        <v>0.5</v>
      </c>
      <c r="Q412" s="5" t="s">
        <v>235</v>
      </c>
      <c r="R412" s="1">
        <v>220</v>
      </c>
      <c r="S412" s="1">
        <v>220</v>
      </c>
      <c r="T412" s="1" t="s">
        <v>69</v>
      </c>
      <c r="U412" s="1" t="s">
        <v>579</v>
      </c>
      <c r="V412" s="1"/>
      <c r="W412" s="1">
        <v>120</v>
      </c>
      <c r="X412" s="1" t="s">
        <v>427</v>
      </c>
      <c r="Y412" s="1">
        <v>1800</v>
      </c>
      <c r="Z412" s="1" t="s">
        <v>237</v>
      </c>
      <c r="AA412" s="1" t="s">
        <v>83</v>
      </c>
      <c r="AB412" s="4">
        <v>26665</v>
      </c>
      <c r="AC412" s="1" t="s">
        <v>84</v>
      </c>
      <c r="AD412" s="1" t="s">
        <v>72</v>
      </c>
      <c r="AE412" s="14" t="s">
        <v>580</v>
      </c>
      <c r="AF412" s="1" t="s">
        <v>581</v>
      </c>
      <c r="AG412" s="1"/>
      <c r="AH412" s="1" t="s">
        <v>112</v>
      </c>
      <c r="AI412" s="4">
        <v>44837</v>
      </c>
      <c r="AJ412" s="12" t="s">
        <v>578</v>
      </c>
      <c r="AK412" s="2"/>
      <c r="AM412" s="66" t="str">
        <f t="shared" si="6"/>
        <v>https://ensinoiptbr.sharepoint.com/:f:/s/ControledeAtivos/Et7FP_nomRdPkeCPsX0NwO8BiBF24PQ5fFNL4ittcazYlw?e=Px1iQR</v>
      </c>
    </row>
    <row r="413" spans="1:39" s="43" customFormat="1" ht="32.4" x14ac:dyDescent="0.35">
      <c r="A413" s="1" t="s">
        <v>26</v>
      </c>
      <c r="B413" s="1">
        <v>10</v>
      </c>
      <c r="C413" s="1" t="s">
        <v>77</v>
      </c>
      <c r="D413" s="1" t="s">
        <v>739</v>
      </c>
      <c r="E413" s="1"/>
      <c r="F413" s="1" t="s">
        <v>582</v>
      </c>
      <c r="G413" s="1"/>
      <c r="H413" s="1" t="s">
        <v>571</v>
      </c>
      <c r="I413" s="1" t="s">
        <v>583</v>
      </c>
      <c r="J413" s="1" t="s">
        <v>573</v>
      </c>
      <c r="K413" s="1"/>
      <c r="L413" s="68"/>
      <c r="M413" s="1"/>
      <c r="N413" s="1"/>
      <c r="O413" s="1" t="s">
        <v>81</v>
      </c>
      <c r="P413" s="5">
        <v>0.5</v>
      </c>
      <c r="Q413" s="5" t="s">
        <v>235</v>
      </c>
      <c r="R413" s="1">
        <v>220</v>
      </c>
      <c r="S413" s="1">
        <v>220</v>
      </c>
      <c r="T413" s="1"/>
      <c r="U413" s="1"/>
      <c r="V413" s="1" t="s">
        <v>584</v>
      </c>
      <c r="W413" s="1"/>
      <c r="X413" s="1"/>
      <c r="Y413" s="1"/>
      <c r="Z413" s="1"/>
      <c r="AA413" s="1" t="s">
        <v>83</v>
      </c>
      <c r="AB413" s="4">
        <v>22647</v>
      </c>
      <c r="AC413" s="1" t="s">
        <v>84</v>
      </c>
      <c r="AD413" s="1" t="s">
        <v>72</v>
      </c>
      <c r="AE413" s="14" t="s">
        <v>585</v>
      </c>
      <c r="AF413" s="1" t="s">
        <v>586</v>
      </c>
      <c r="AG413" s="1"/>
      <c r="AH413" s="1" t="s">
        <v>112</v>
      </c>
      <c r="AI413" s="4">
        <v>44837</v>
      </c>
      <c r="AJ413" s="12" t="s">
        <v>583</v>
      </c>
      <c r="AK413" s="2"/>
      <c r="AM413" s="66" t="str">
        <f t="shared" si="6"/>
        <v>https://ensinoiptbr.sharepoint.com/:f:/s/ControledeAtivos/EsR90jbi1V1Fq23_IqwRL_MB2ib8Nhd2NOqKKZkJ3yPZEw?e=FTXJJd</v>
      </c>
    </row>
    <row r="414" spans="1:39" s="43" customFormat="1" ht="81" x14ac:dyDescent="0.35">
      <c r="A414" s="1" t="s">
        <v>26</v>
      </c>
      <c r="B414" s="1">
        <v>10</v>
      </c>
      <c r="C414" s="1" t="s">
        <v>130</v>
      </c>
      <c r="D414" s="1" t="s">
        <v>739</v>
      </c>
      <c r="E414" s="1" t="s">
        <v>146</v>
      </c>
      <c r="F414" s="1" t="s">
        <v>587</v>
      </c>
      <c r="G414" s="1"/>
      <c r="H414" s="1" t="s">
        <v>571</v>
      </c>
      <c r="I414" s="1" t="s">
        <v>588</v>
      </c>
      <c r="J414" s="1" t="s">
        <v>80</v>
      </c>
      <c r="K414" s="1"/>
      <c r="L414" s="68"/>
      <c r="M414" s="1"/>
      <c r="N414" s="1"/>
      <c r="O414" s="1" t="s">
        <v>135</v>
      </c>
      <c r="P414" s="1"/>
      <c r="Q414" s="1"/>
      <c r="R414" s="1"/>
      <c r="S414" s="1"/>
      <c r="T414" s="1"/>
      <c r="U414" s="1"/>
      <c r="V414" s="1" t="s">
        <v>589</v>
      </c>
      <c r="W414" s="1"/>
      <c r="X414" s="1"/>
      <c r="Y414" s="1"/>
      <c r="Z414" s="1"/>
      <c r="AA414" s="1"/>
      <c r="AB414" s="4"/>
      <c r="AC414" s="1"/>
      <c r="AD414" s="1" t="s">
        <v>72</v>
      </c>
      <c r="AE414" s="14" t="s">
        <v>590</v>
      </c>
      <c r="AF414" s="1" t="s">
        <v>591</v>
      </c>
      <c r="AG414" s="1"/>
      <c r="AH414" s="1"/>
      <c r="AI414" s="4">
        <v>44820</v>
      </c>
      <c r="AJ414" s="12" t="s">
        <v>588</v>
      </c>
      <c r="AK414" s="2"/>
      <c r="AM414" s="66" t="str">
        <f t="shared" si="6"/>
        <v>https://ensinoiptbr-my.sharepoint.com/personal/ericaugustin_ipt_br/Documents/Documentos/Prototipos/2023/Projeto Controle Ativos/SistemaAtivos2/:f:/s/ControledeAtivos/Eoaz5dBgy1tDvEQp7BnyJIYBlyiS_z921yNX-24z3eC0nw?e=udadQN</v>
      </c>
    </row>
    <row r="415" spans="1:39" s="43" customFormat="1" ht="81" x14ac:dyDescent="0.35">
      <c r="A415" s="1" t="s">
        <v>26</v>
      </c>
      <c r="B415" s="1">
        <v>10</v>
      </c>
      <c r="C415" s="1" t="s">
        <v>130</v>
      </c>
      <c r="D415" s="1" t="s">
        <v>739</v>
      </c>
      <c r="E415" s="1" t="s">
        <v>146</v>
      </c>
      <c r="F415" s="1" t="s">
        <v>587</v>
      </c>
      <c r="G415" s="1"/>
      <c r="H415" s="1" t="s">
        <v>571</v>
      </c>
      <c r="I415" s="1" t="s">
        <v>592</v>
      </c>
      <c r="J415" s="1" t="s">
        <v>593</v>
      </c>
      <c r="K415" s="1"/>
      <c r="L415" s="68"/>
      <c r="M415" s="1"/>
      <c r="N415" s="1"/>
      <c r="O415" s="1" t="s">
        <v>135</v>
      </c>
      <c r="P415" s="1"/>
      <c r="Q415" s="1"/>
      <c r="R415" s="1">
        <v>220</v>
      </c>
      <c r="S415" s="1">
        <v>220</v>
      </c>
      <c r="T415" s="1"/>
      <c r="U415" s="1"/>
      <c r="V415" s="1">
        <v>80584</v>
      </c>
      <c r="W415" s="1"/>
      <c r="X415" s="1"/>
      <c r="Y415" s="1"/>
      <c r="Z415" s="1"/>
      <c r="AA415" s="1"/>
      <c r="AB415" s="4"/>
      <c r="AC415" s="1" t="s">
        <v>84</v>
      </c>
      <c r="AD415" s="1" t="s">
        <v>72</v>
      </c>
      <c r="AE415" s="14" t="s">
        <v>594</v>
      </c>
      <c r="AF415" s="1" t="s">
        <v>591</v>
      </c>
      <c r="AG415" s="1"/>
      <c r="AH415" s="1" t="s">
        <v>75</v>
      </c>
      <c r="AI415" s="4">
        <v>44820</v>
      </c>
      <c r="AJ415" s="12" t="s">
        <v>592</v>
      </c>
      <c r="AK415" s="2"/>
      <c r="AM415" s="66" t="str">
        <f t="shared" si="6"/>
        <v>https://ensinoiptbr-my.sharepoint.com/personal/ericaugustin_ipt_br/Documents/Documentos/Prototipos/2023/Projeto Controle Ativos/SistemaAtivos2/:f:/s/ControledeAtivos/EsoBWPsIYpRLuf0vxJn53-4BXLyK6EpoVwyPaJeAYxWxqA?e=ugsds1</v>
      </c>
    </row>
    <row r="416" spans="1:39" s="43" customFormat="1" ht="81" x14ac:dyDescent="0.35">
      <c r="A416" s="1" t="s">
        <v>26</v>
      </c>
      <c r="B416" s="1">
        <v>10</v>
      </c>
      <c r="C416" s="1" t="s">
        <v>130</v>
      </c>
      <c r="D416" s="1" t="s">
        <v>739</v>
      </c>
      <c r="E416" s="1" t="s">
        <v>146</v>
      </c>
      <c r="F416" s="1" t="s">
        <v>595</v>
      </c>
      <c r="G416" s="1"/>
      <c r="H416" s="1" t="s">
        <v>571</v>
      </c>
      <c r="I416" s="1" t="s">
        <v>596</v>
      </c>
      <c r="J416" s="1" t="s">
        <v>597</v>
      </c>
      <c r="K416" s="1"/>
      <c r="L416" s="68"/>
      <c r="M416" s="1"/>
      <c r="N416" s="1"/>
      <c r="O416" s="1" t="s">
        <v>135</v>
      </c>
      <c r="P416" s="1">
        <v>400</v>
      </c>
      <c r="Q416" s="1" t="s">
        <v>97</v>
      </c>
      <c r="R416" s="1">
        <v>100</v>
      </c>
      <c r="S416" s="1">
        <v>100</v>
      </c>
      <c r="T416" s="1"/>
      <c r="U416" s="1" t="s">
        <v>98</v>
      </c>
      <c r="V416" s="1" t="s">
        <v>598</v>
      </c>
      <c r="W416" s="1"/>
      <c r="X416" s="1"/>
      <c r="Y416" s="1"/>
      <c r="Z416" s="1"/>
      <c r="AA416" s="1" t="s">
        <v>100</v>
      </c>
      <c r="AB416" s="4">
        <v>32509</v>
      </c>
      <c r="AC416" s="1" t="s">
        <v>599</v>
      </c>
      <c r="AD416" s="1" t="s">
        <v>215</v>
      </c>
      <c r="AE416" s="14" t="s">
        <v>600</v>
      </c>
      <c r="AF416" s="1" t="s">
        <v>601</v>
      </c>
      <c r="AG416" s="1"/>
      <c r="AH416" s="1" t="s">
        <v>75</v>
      </c>
      <c r="AI416" s="4">
        <v>44820</v>
      </c>
      <c r="AJ416" s="12" t="s">
        <v>596</v>
      </c>
      <c r="AK416" s="2"/>
      <c r="AM416" s="66" t="str">
        <f t="shared" si="6"/>
        <v>https://ensinoiptbr-my.sharepoint.com/personal/ericaugustin_ipt_br/Documents/Documentos/Prototipos/2023/Projeto Controle Ativos/SistemaAtivos2/:f:/s/ControledeAtivos/El8BlmutQ1VPpSMgy-MoSPcBJhkLLQx65U22TYxOg1ghdw?e=U6OQLK</v>
      </c>
    </row>
    <row r="417" spans="1:39" s="43" customFormat="1" ht="81" x14ac:dyDescent="0.35">
      <c r="A417" s="1" t="s">
        <v>26</v>
      </c>
      <c r="B417" s="1">
        <v>10</v>
      </c>
      <c r="C417" s="1" t="s">
        <v>130</v>
      </c>
      <c r="D417" s="1" t="s">
        <v>739</v>
      </c>
      <c r="E417" s="1" t="s">
        <v>146</v>
      </c>
      <c r="F417" s="1" t="s">
        <v>602</v>
      </c>
      <c r="G417" s="1"/>
      <c r="H417" s="1" t="s">
        <v>571</v>
      </c>
      <c r="I417" s="1" t="s">
        <v>603</v>
      </c>
      <c r="J417" s="1" t="s">
        <v>604</v>
      </c>
      <c r="K417" s="1"/>
      <c r="L417" s="68"/>
      <c r="M417" s="1"/>
      <c r="N417" s="1"/>
      <c r="O417" s="1" t="s">
        <v>135</v>
      </c>
      <c r="P417" s="1">
        <v>200</v>
      </c>
      <c r="Q417" s="1" t="s">
        <v>97</v>
      </c>
      <c r="R417" s="1">
        <v>100</v>
      </c>
      <c r="S417" s="1">
        <v>100</v>
      </c>
      <c r="T417" s="1"/>
      <c r="U417" s="1" t="s">
        <v>98</v>
      </c>
      <c r="V417" s="1" t="s">
        <v>605</v>
      </c>
      <c r="W417" s="1"/>
      <c r="X417" s="1"/>
      <c r="Y417" s="1"/>
      <c r="Z417" s="1"/>
      <c r="AA417" s="1" t="s">
        <v>100</v>
      </c>
      <c r="AB417" s="4">
        <v>31413</v>
      </c>
      <c r="AC417" s="1" t="s">
        <v>101</v>
      </c>
      <c r="AD417" s="1" t="s">
        <v>72</v>
      </c>
      <c r="AE417" s="14" t="s">
        <v>606</v>
      </c>
      <c r="AF417" s="1" t="s">
        <v>601</v>
      </c>
      <c r="AG417" s="1"/>
      <c r="AH417" s="1" t="s">
        <v>75</v>
      </c>
      <c r="AI417" s="4">
        <v>44820</v>
      </c>
      <c r="AJ417" s="12" t="s">
        <v>603</v>
      </c>
      <c r="AK417" s="2"/>
      <c r="AM417" s="66" t="str">
        <f t="shared" si="6"/>
        <v>https://ensinoiptbr-my.sharepoint.com/personal/ericaugustin_ipt_br/Documents/Documentos/Prototipos/2023/Projeto Controle Ativos/SistemaAtivos2/:f:/s/ControledeAtivos/Es1nGufy0shOvC-axs4AZJ0B0lt5ESZ5gZca71ukVuMy3g?e=4thZsd</v>
      </c>
    </row>
    <row r="418" spans="1:39" s="43" customFormat="1" ht="81" x14ac:dyDescent="0.35">
      <c r="A418" s="1" t="s">
        <v>26</v>
      </c>
      <c r="B418" s="1">
        <v>10</v>
      </c>
      <c r="C418" s="1" t="s">
        <v>130</v>
      </c>
      <c r="D418" s="1" t="s">
        <v>739</v>
      </c>
      <c r="E418" s="1" t="s">
        <v>146</v>
      </c>
      <c r="F418" s="1" t="s">
        <v>582</v>
      </c>
      <c r="G418" s="1"/>
      <c r="H418" s="1" t="s">
        <v>571</v>
      </c>
      <c r="I418" s="1" t="s">
        <v>607</v>
      </c>
      <c r="J418" s="1" t="s">
        <v>604</v>
      </c>
      <c r="K418" s="1"/>
      <c r="L418" s="68"/>
      <c r="M418" s="1"/>
      <c r="N418" s="1"/>
      <c r="O418" s="1" t="s">
        <v>135</v>
      </c>
      <c r="P418" s="1">
        <v>200</v>
      </c>
      <c r="Q418" s="1" t="s">
        <v>97</v>
      </c>
      <c r="R418" s="34">
        <v>100</v>
      </c>
      <c r="S418" s="1">
        <v>100</v>
      </c>
      <c r="T418" s="1"/>
      <c r="U418" s="1" t="s">
        <v>98</v>
      </c>
      <c r="V418" s="1" t="s">
        <v>608</v>
      </c>
      <c r="W418" s="1"/>
      <c r="X418" s="1"/>
      <c r="Y418" s="1"/>
      <c r="Z418" s="1"/>
      <c r="AA418" s="1" t="s">
        <v>100</v>
      </c>
      <c r="AB418" s="4">
        <v>31413</v>
      </c>
      <c r="AC418" s="1" t="s">
        <v>101</v>
      </c>
      <c r="AD418" s="1" t="s">
        <v>72</v>
      </c>
      <c r="AE418" s="14" t="s">
        <v>609</v>
      </c>
      <c r="AF418" s="1" t="s">
        <v>601</v>
      </c>
      <c r="AG418" s="1"/>
      <c r="AH418" s="1" t="s">
        <v>75</v>
      </c>
      <c r="AI418" s="4">
        <v>44820</v>
      </c>
      <c r="AJ418" s="12" t="s">
        <v>607</v>
      </c>
      <c r="AK418" s="2"/>
      <c r="AM418" s="66" t="str">
        <f t="shared" si="6"/>
        <v>https://ensinoiptbr-my.sharepoint.com/personal/ericaugustin_ipt_br/Documents/Documentos/Prototipos/2023/Projeto Controle Ativos/SistemaAtivos2/:f:/s/ControledeAtivos/EnVObrgnF-1Gu0ERaSRrUtoBy6fmhausNwP387xg5z0WwQ?e=vhgiEz</v>
      </c>
    </row>
    <row r="419" spans="1:39" s="43" customFormat="1" ht="81" x14ac:dyDescent="0.35">
      <c r="A419" s="1" t="s">
        <v>26</v>
      </c>
      <c r="B419" s="1">
        <v>10</v>
      </c>
      <c r="C419" s="1" t="s">
        <v>130</v>
      </c>
      <c r="D419" s="1" t="s">
        <v>739</v>
      </c>
      <c r="E419" s="1" t="s">
        <v>146</v>
      </c>
      <c r="F419" s="1" t="s">
        <v>582</v>
      </c>
      <c r="G419" s="1"/>
      <c r="H419" s="1" t="s">
        <v>571</v>
      </c>
      <c r="I419" s="1" t="s">
        <v>610</v>
      </c>
      <c r="J419" s="1" t="s">
        <v>604</v>
      </c>
      <c r="K419" s="1"/>
      <c r="L419" s="68"/>
      <c r="M419" s="1"/>
      <c r="N419" s="1"/>
      <c r="O419" s="1" t="s">
        <v>135</v>
      </c>
      <c r="P419" s="1">
        <v>300</v>
      </c>
      <c r="Q419" s="1" t="s">
        <v>97</v>
      </c>
      <c r="R419" s="34">
        <v>100</v>
      </c>
      <c r="S419" s="1">
        <v>100</v>
      </c>
      <c r="T419" s="1"/>
      <c r="U419" s="1" t="s">
        <v>98</v>
      </c>
      <c r="V419" s="1" t="s">
        <v>611</v>
      </c>
      <c r="W419" s="1"/>
      <c r="X419" s="1"/>
      <c r="Y419" s="1"/>
      <c r="Z419" s="1"/>
      <c r="AA419" s="1" t="s">
        <v>100</v>
      </c>
      <c r="AB419" s="4">
        <v>31413</v>
      </c>
      <c r="AC419" s="1" t="s">
        <v>101</v>
      </c>
      <c r="AD419" s="1" t="s">
        <v>72</v>
      </c>
      <c r="AE419" s="14" t="s">
        <v>612</v>
      </c>
      <c r="AF419" s="1" t="s">
        <v>601</v>
      </c>
      <c r="AG419" s="1"/>
      <c r="AH419" s="1" t="s">
        <v>75</v>
      </c>
      <c r="AI419" s="4">
        <v>44820</v>
      </c>
      <c r="AJ419" s="12" t="s">
        <v>610</v>
      </c>
      <c r="AK419" s="2"/>
      <c r="AM419" s="66" t="str">
        <f t="shared" si="6"/>
        <v>https://ensinoiptbr-my.sharepoint.com/personal/ericaugustin_ipt_br/Documents/Documentos/Prototipos/2023/Projeto Controle Ativos/SistemaAtivos2/:f:/s/ControledeAtivos/EsDKUH5BrddHgMRQc2gtgwABC0bGVDI_izoMz5CPl1V-7w?e=28jO9L</v>
      </c>
    </row>
    <row r="420" spans="1:39" ht="32.4" x14ac:dyDescent="0.35">
      <c r="A420" s="1" t="s">
        <v>26</v>
      </c>
      <c r="B420" s="1">
        <v>10</v>
      </c>
      <c r="C420" s="1" t="s">
        <v>88</v>
      </c>
      <c r="D420" s="1" t="s">
        <v>739</v>
      </c>
      <c r="E420" s="1" t="s">
        <v>259</v>
      </c>
      <c r="F420" s="1" t="s">
        <v>613</v>
      </c>
      <c r="H420" s="1" t="s">
        <v>614</v>
      </c>
      <c r="I420" s="1" t="s">
        <v>615</v>
      </c>
      <c r="J420" s="1" t="s">
        <v>616</v>
      </c>
      <c r="O420" s="1" t="s">
        <v>234</v>
      </c>
      <c r="V420" s="1" t="s">
        <v>617</v>
      </c>
      <c r="AA420" s="1" t="s">
        <v>119</v>
      </c>
      <c r="AC420" s="1" t="s">
        <v>84</v>
      </c>
      <c r="AD420" s="1" t="s">
        <v>72</v>
      </c>
      <c r="AE420" s="14" t="s">
        <v>618</v>
      </c>
      <c r="AF420" s="1" t="s">
        <v>302</v>
      </c>
      <c r="AH420" s="1" t="s">
        <v>75</v>
      </c>
      <c r="AI420" s="4">
        <v>44862</v>
      </c>
      <c r="AJ420" s="12" t="s">
        <v>615</v>
      </c>
      <c r="AM420" s="66" t="str">
        <f t="shared" si="6"/>
        <v>https://ensinoiptbr.sharepoint.com/:f:/s/ControledeAtivos/EqqTGdenrM5Lqrfm1vL-TNQBBsF-McuAbkajIGqK0eeJYw?e=XP9yP5</v>
      </c>
    </row>
    <row r="421" spans="1:39" ht="32.4" x14ac:dyDescent="0.35">
      <c r="A421" s="1" t="s">
        <v>26</v>
      </c>
      <c r="B421" s="1">
        <v>10</v>
      </c>
      <c r="C421" s="1" t="s">
        <v>88</v>
      </c>
      <c r="D421" s="1" t="s">
        <v>739</v>
      </c>
      <c r="E421" s="1" t="s">
        <v>259</v>
      </c>
      <c r="F421" s="1" t="s">
        <v>613</v>
      </c>
      <c r="H421" s="1" t="s">
        <v>614</v>
      </c>
      <c r="I421" s="1" t="s">
        <v>619</v>
      </c>
      <c r="J421" s="1" t="s">
        <v>616</v>
      </c>
      <c r="O421" s="1" t="s">
        <v>234</v>
      </c>
      <c r="V421" s="1" t="s">
        <v>620</v>
      </c>
      <c r="AA421" s="1" t="s">
        <v>119</v>
      </c>
      <c r="AC421" s="1" t="s">
        <v>84</v>
      </c>
      <c r="AD421" s="1" t="s">
        <v>215</v>
      </c>
      <c r="AE421" s="14" t="s">
        <v>621</v>
      </c>
      <c r="AF421" s="1" t="s">
        <v>302</v>
      </c>
      <c r="AH421" s="1" t="s">
        <v>75</v>
      </c>
      <c r="AI421" s="4">
        <v>44852</v>
      </c>
      <c r="AJ421" s="12" t="s">
        <v>619</v>
      </c>
      <c r="AM421" s="66" t="str">
        <f t="shared" si="6"/>
        <v>https://ensinoiptbr.sharepoint.com/:f:/s/ControledeAtivos/EhWDDq6D-T1FoLf_TtzJo74Bw5oNLTA9PLhPjb_jmYKg6w?e=5DjZPB</v>
      </c>
    </row>
    <row r="422" spans="1:39" ht="32.4" x14ac:dyDescent="0.35">
      <c r="A422" s="1" t="s">
        <v>26</v>
      </c>
      <c r="B422" s="1">
        <v>10</v>
      </c>
      <c r="C422" s="1" t="s">
        <v>88</v>
      </c>
      <c r="D422" s="1" t="s">
        <v>739</v>
      </c>
      <c r="E422" s="1" t="s">
        <v>259</v>
      </c>
      <c r="F422" s="1" t="s">
        <v>613</v>
      </c>
      <c r="H422" s="1" t="s">
        <v>614</v>
      </c>
      <c r="I422" s="1" t="s">
        <v>622</v>
      </c>
      <c r="J422" s="1" t="s">
        <v>616</v>
      </c>
      <c r="O422" s="1" t="s">
        <v>234</v>
      </c>
      <c r="V422" s="1" t="s">
        <v>623</v>
      </c>
      <c r="AA422" s="1" t="s">
        <v>119</v>
      </c>
      <c r="AC422" s="1" t="s">
        <v>84</v>
      </c>
      <c r="AD422" s="1" t="s">
        <v>215</v>
      </c>
      <c r="AE422" s="14" t="s">
        <v>624</v>
      </c>
      <c r="AF422" s="1" t="s">
        <v>302</v>
      </c>
      <c r="AH422" s="1" t="s">
        <v>75</v>
      </c>
      <c r="AI422" s="4">
        <v>44862</v>
      </c>
      <c r="AJ422" s="12" t="s">
        <v>622</v>
      </c>
      <c r="AM422" s="66" t="str">
        <f t="shared" si="6"/>
        <v>https://ensinoiptbr.sharepoint.com/:f:/s/ControledeAtivos/EmCkOFE27dhHiNyI4XIk3RsBg1BvKHZYcgl9MtCU-cGaEA?e=2RaSS6</v>
      </c>
    </row>
    <row r="423" spans="1:39" ht="81" x14ac:dyDescent="0.35">
      <c r="A423" s="1" t="s">
        <v>26</v>
      </c>
      <c r="B423" s="1">
        <v>10</v>
      </c>
      <c r="C423" s="1" t="s">
        <v>130</v>
      </c>
      <c r="D423" s="1" t="s">
        <v>739</v>
      </c>
      <c r="E423" s="1" t="s">
        <v>146</v>
      </c>
      <c r="F423" s="1" t="s">
        <v>625</v>
      </c>
      <c r="H423" s="1" t="s">
        <v>625</v>
      </c>
      <c r="I423" s="1" t="s">
        <v>626</v>
      </c>
      <c r="J423" s="1" t="s">
        <v>126</v>
      </c>
      <c r="O423" s="1" t="s">
        <v>135</v>
      </c>
      <c r="P423" s="1">
        <v>300</v>
      </c>
      <c r="Q423" s="1" t="s">
        <v>97</v>
      </c>
      <c r="R423" s="1">
        <v>220</v>
      </c>
      <c r="V423" s="1" t="s">
        <v>627</v>
      </c>
      <c r="AA423" s="1" t="s">
        <v>119</v>
      </c>
      <c r="AC423" s="1" t="s">
        <v>120</v>
      </c>
      <c r="AE423" s="14">
        <v>3908</v>
      </c>
      <c r="AF423" s="1" t="s">
        <v>628</v>
      </c>
      <c r="AH423" s="1" t="s">
        <v>154</v>
      </c>
      <c r="AI423" s="4">
        <v>44813</v>
      </c>
      <c r="AJ423" s="12" t="s">
        <v>626</v>
      </c>
      <c r="AM423" s="66" t="str">
        <f t="shared" si="6"/>
        <v>https://ensinoiptbr-my.sharepoint.com/personal/ericaugustin_ipt_br/Documents/Documentos/Prototipos/2023/Projeto Controle Ativos/SistemaAtivos2/:f:/s/ControledeAtivos/ElqRvBlxCflFn93UewlD-AAB49wizRJA-7-dsp9uyumNXw?e=bxApfH</v>
      </c>
    </row>
    <row r="424" spans="1:39" ht="32.4" x14ac:dyDescent="0.35">
      <c r="A424" s="1" t="s">
        <v>26</v>
      </c>
      <c r="B424" s="1">
        <v>10</v>
      </c>
      <c r="C424" s="1" t="s">
        <v>77</v>
      </c>
      <c r="D424" s="1" t="s">
        <v>739</v>
      </c>
      <c r="F424" s="1" t="s">
        <v>629</v>
      </c>
      <c r="H424" s="1" t="s">
        <v>630</v>
      </c>
      <c r="I424" s="1" t="s">
        <v>631</v>
      </c>
      <c r="J424" s="1" t="s">
        <v>365</v>
      </c>
      <c r="O424" s="1" t="s">
        <v>81</v>
      </c>
      <c r="P424" s="5">
        <v>2</v>
      </c>
      <c r="Q424" s="5" t="s">
        <v>235</v>
      </c>
      <c r="R424" s="1">
        <v>220</v>
      </c>
      <c r="S424" s="1">
        <v>220</v>
      </c>
      <c r="T424" s="1" t="s">
        <v>69</v>
      </c>
      <c r="V424" s="1" t="s">
        <v>632</v>
      </c>
      <c r="W424" s="1">
        <v>1725</v>
      </c>
      <c r="X424" s="1" t="s">
        <v>237</v>
      </c>
      <c r="AA424" s="1" t="s">
        <v>119</v>
      </c>
      <c r="AB424" s="4">
        <v>28491</v>
      </c>
      <c r="AC424" s="1" t="s">
        <v>84</v>
      </c>
      <c r="AD424" s="1" t="s">
        <v>72</v>
      </c>
      <c r="AE424" s="14" t="s">
        <v>633</v>
      </c>
      <c r="AF424" s="1" t="s">
        <v>634</v>
      </c>
      <c r="AH424" s="1" t="s">
        <v>112</v>
      </c>
      <c r="AI424" s="4">
        <v>44837</v>
      </c>
      <c r="AJ424" s="12" t="s">
        <v>631</v>
      </c>
      <c r="AM424" s="66" t="str">
        <f t="shared" si="6"/>
        <v>https://ensinoiptbr.sharepoint.com/:f:/s/ControledeAtivos/EltTQAm9HNZHiQOy0xTXSfIB8OiMZ4HfbTEBvOIKmDT6Dg?e=Rcdgsa</v>
      </c>
    </row>
    <row r="425" spans="1:39" ht="32.4" x14ac:dyDescent="0.35">
      <c r="A425" s="1" t="s">
        <v>26</v>
      </c>
      <c r="B425" s="1">
        <v>10</v>
      </c>
      <c r="C425" s="1" t="s">
        <v>77</v>
      </c>
      <c r="D425" s="1" t="s">
        <v>739</v>
      </c>
      <c r="F425" s="1" t="s">
        <v>629</v>
      </c>
      <c r="H425" s="1" t="s">
        <v>630</v>
      </c>
      <c r="I425" s="1" t="s">
        <v>635</v>
      </c>
      <c r="J425" s="1" t="s">
        <v>573</v>
      </c>
      <c r="O425" s="1" t="s">
        <v>81</v>
      </c>
      <c r="P425" s="5">
        <v>5</v>
      </c>
      <c r="Q425" s="5" t="s">
        <v>235</v>
      </c>
      <c r="R425" s="1">
        <v>220</v>
      </c>
      <c r="S425" s="1">
        <v>220</v>
      </c>
      <c r="T425" s="1" t="s">
        <v>69</v>
      </c>
      <c r="V425" s="1" t="s">
        <v>636</v>
      </c>
      <c r="W425" s="1">
        <v>1800</v>
      </c>
      <c r="X425" s="1" t="s">
        <v>237</v>
      </c>
      <c r="AA425" s="1" t="s">
        <v>83</v>
      </c>
      <c r="AB425" s="4">
        <v>24838</v>
      </c>
      <c r="AC425" s="1" t="s">
        <v>84</v>
      </c>
      <c r="AD425" s="1" t="s">
        <v>72</v>
      </c>
      <c r="AE425" s="14" t="s">
        <v>637</v>
      </c>
      <c r="AF425" s="1" t="s">
        <v>634</v>
      </c>
      <c r="AH425" s="1" t="s">
        <v>112</v>
      </c>
      <c r="AI425" s="4">
        <v>44837</v>
      </c>
      <c r="AJ425" s="12" t="s">
        <v>635</v>
      </c>
      <c r="AM425" s="66" t="str">
        <f t="shared" si="6"/>
        <v>https://ensinoiptbr.sharepoint.com/:f:/s/ControledeAtivos/EmHVORgLDmlLuY-syGvaJm8BFx6jCyCz4wTXigFXp9AdVw?e=WOKWeM</v>
      </c>
    </row>
    <row r="426" spans="1:39" ht="32.4" x14ac:dyDescent="0.35">
      <c r="A426" s="1" t="s">
        <v>26</v>
      </c>
      <c r="B426" s="1">
        <v>10</v>
      </c>
      <c r="C426" s="1" t="s">
        <v>77</v>
      </c>
      <c r="D426" s="1" t="s">
        <v>739</v>
      </c>
      <c r="F426" s="1" t="s">
        <v>629</v>
      </c>
      <c r="H426" s="1" t="s">
        <v>630</v>
      </c>
      <c r="I426" s="1" t="s">
        <v>638</v>
      </c>
      <c r="J426" s="1" t="s">
        <v>639</v>
      </c>
      <c r="O426" s="1" t="s">
        <v>81</v>
      </c>
      <c r="P426" s="5">
        <v>10</v>
      </c>
      <c r="Q426" s="5" t="s">
        <v>235</v>
      </c>
      <c r="R426" s="1">
        <v>220</v>
      </c>
      <c r="S426" s="1">
        <v>220</v>
      </c>
      <c r="T426" s="1" t="s">
        <v>69</v>
      </c>
      <c r="V426" s="1" t="s">
        <v>640</v>
      </c>
      <c r="AA426" s="1" t="s">
        <v>83</v>
      </c>
      <c r="AC426" s="1" t="s">
        <v>84</v>
      </c>
      <c r="AD426" s="1" t="s">
        <v>72</v>
      </c>
      <c r="AE426" s="14" t="s">
        <v>641</v>
      </c>
      <c r="AF426" s="1" t="s">
        <v>642</v>
      </c>
      <c r="AH426" s="1" t="s">
        <v>75</v>
      </c>
      <c r="AI426" s="4">
        <v>44837</v>
      </c>
      <c r="AJ426" s="12" t="s">
        <v>638</v>
      </c>
      <c r="AM426" s="66" t="str">
        <f t="shared" si="6"/>
        <v>https://ensinoiptbr.sharepoint.com/:f:/s/ControledeAtivos/ErkCm20sKkdOgod3aPK6QTkBn7GAKIPabFXGzmxn8-zIeA?e=AYgYXw</v>
      </c>
    </row>
    <row r="427" spans="1:39" ht="81" x14ac:dyDescent="0.35">
      <c r="A427" s="1" t="s">
        <v>26</v>
      </c>
      <c r="B427" s="1">
        <v>10</v>
      </c>
      <c r="C427" s="1" t="s">
        <v>124</v>
      </c>
      <c r="D427" s="1" t="s">
        <v>739</v>
      </c>
      <c r="F427" s="1" t="s">
        <v>643</v>
      </c>
      <c r="H427" s="1" t="s">
        <v>630</v>
      </c>
      <c r="I427" s="1" t="s">
        <v>644</v>
      </c>
      <c r="J427" s="1" t="s">
        <v>645</v>
      </c>
      <c r="O427" s="1" t="s">
        <v>109</v>
      </c>
      <c r="P427" s="1">
        <v>2.2000000000000002</v>
      </c>
      <c r="Q427" s="1" t="s">
        <v>198</v>
      </c>
      <c r="R427" s="1">
        <v>220</v>
      </c>
      <c r="S427" s="1">
        <v>220</v>
      </c>
      <c r="U427" s="1" t="s">
        <v>69</v>
      </c>
      <c r="V427" s="1" t="s">
        <v>646</v>
      </c>
      <c r="AA427" s="1" t="s">
        <v>100</v>
      </c>
      <c r="AB427" s="4">
        <v>31048</v>
      </c>
      <c r="AC427" s="1" t="s">
        <v>101</v>
      </c>
      <c r="AD427" s="1" t="s">
        <v>191</v>
      </c>
      <c r="AE427" s="14" t="s">
        <v>647</v>
      </c>
      <c r="AF427" s="1" t="s">
        <v>648</v>
      </c>
      <c r="AH427" s="1" t="s">
        <v>112</v>
      </c>
      <c r="AI427" s="4">
        <v>44827</v>
      </c>
      <c r="AJ427" s="12" t="s">
        <v>644</v>
      </c>
      <c r="AM427" s="66" t="str">
        <f t="shared" si="6"/>
        <v>https://ensinoiptbr-my.sharepoint.com/personal/ericaugustin_ipt_br/Documents/Documentos/Prototipos/2023/Projeto Controle Ativos/SistemaAtivos2/:f:/s/ControledeAtivos/EmSkrlqN4TpNge3zmZejwC0BQaDCQFBD7krWt1t6fnSz-Q?e=Wj9y5t</v>
      </c>
    </row>
    <row r="428" spans="1:39" ht="81" x14ac:dyDescent="0.35">
      <c r="A428" s="1" t="s">
        <v>26</v>
      </c>
      <c r="B428" s="1">
        <v>10</v>
      </c>
      <c r="C428" s="1" t="s">
        <v>124</v>
      </c>
      <c r="D428" s="1" t="s">
        <v>739</v>
      </c>
      <c r="F428" s="1" t="s">
        <v>629</v>
      </c>
      <c r="H428" s="1" t="s">
        <v>630</v>
      </c>
      <c r="I428" s="1" t="s">
        <v>649</v>
      </c>
      <c r="J428" s="1" t="s">
        <v>645</v>
      </c>
      <c r="O428" s="1" t="s">
        <v>109</v>
      </c>
      <c r="P428" s="1">
        <v>2.2000000000000002</v>
      </c>
      <c r="Q428" s="1" t="s">
        <v>198</v>
      </c>
      <c r="R428" s="1">
        <v>220</v>
      </c>
      <c r="S428" s="1">
        <v>220</v>
      </c>
      <c r="U428" s="1" t="s">
        <v>69</v>
      </c>
      <c r="V428" s="1" t="s">
        <v>650</v>
      </c>
      <c r="AA428" s="1" t="s">
        <v>100</v>
      </c>
      <c r="AB428" s="4">
        <v>31048</v>
      </c>
      <c r="AC428" s="1" t="s">
        <v>101</v>
      </c>
      <c r="AF428" s="1" t="s">
        <v>642</v>
      </c>
      <c r="AH428" s="1" t="s">
        <v>112</v>
      </c>
      <c r="AI428" s="4">
        <v>44827</v>
      </c>
      <c r="AJ428" s="12" t="s">
        <v>649</v>
      </c>
      <c r="AM428" s="66" t="str">
        <f t="shared" si="6"/>
        <v>https://ensinoiptbr-my.sharepoint.com/personal/ericaugustin_ipt_br/Documents/Documentos/Prototipos/2023/Projeto Controle Ativos/SistemaAtivos2/:f:/s/ControledeAtivos/EoiQzaVC-SFLgB_tFZHVka0B0o1ei--92mnqLTkhNKX4UA?e=S5EBqc</v>
      </c>
    </row>
    <row r="429" spans="1:39" ht="81" x14ac:dyDescent="0.35">
      <c r="A429" s="1" t="s">
        <v>26</v>
      </c>
      <c r="B429" s="1">
        <v>10</v>
      </c>
      <c r="C429" s="1" t="s">
        <v>124</v>
      </c>
      <c r="D429" s="1" t="s">
        <v>739</v>
      </c>
      <c r="F429" s="1" t="s">
        <v>651</v>
      </c>
      <c r="H429" s="1" t="s">
        <v>630</v>
      </c>
      <c r="I429" s="1" t="s">
        <v>652</v>
      </c>
      <c r="J429" s="1" t="s">
        <v>645</v>
      </c>
      <c r="O429" s="1" t="s">
        <v>109</v>
      </c>
      <c r="P429" s="1">
        <v>2.2000000000000002</v>
      </c>
      <c r="Q429" s="1" t="s">
        <v>198</v>
      </c>
      <c r="R429" s="1">
        <v>220</v>
      </c>
      <c r="S429" s="1">
        <v>220</v>
      </c>
      <c r="U429" s="1" t="s">
        <v>69</v>
      </c>
      <c r="V429" s="1" t="s">
        <v>653</v>
      </c>
      <c r="AA429" s="1" t="s">
        <v>100</v>
      </c>
      <c r="AB429" s="4">
        <v>31413</v>
      </c>
      <c r="AC429" s="1" t="s">
        <v>101</v>
      </c>
      <c r="AD429" s="1" t="s">
        <v>72</v>
      </c>
      <c r="AE429" s="14" t="s">
        <v>654</v>
      </c>
      <c r="AF429" s="1" t="s">
        <v>642</v>
      </c>
      <c r="AH429" s="1" t="s">
        <v>75</v>
      </c>
      <c r="AI429" s="4">
        <v>44827</v>
      </c>
      <c r="AJ429" s="12" t="s">
        <v>652</v>
      </c>
      <c r="AM429" s="66" t="str">
        <f t="shared" si="6"/>
        <v>https://ensinoiptbr-my.sharepoint.com/personal/ericaugustin_ipt_br/Documents/Documentos/Prototipos/2023/Projeto Controle Ativos/SistemaAtivos2/:f:/s/ControledeAtivos/Ev27dXjv7h5Hp3PNgDFqBToBoePwpt_AcXZeGR9pKsBoUA?e=J3wOfI</v>
      </c>
    </row>
    <row r="430" spans="1:39" ht="32.4" x14ac:dyDescent="0.35">
      <c r="A430" s="1" t="s">
        <v>26</v>
      </c>
      <c r="B430" s="1">
        <v>10</v>
      </c>
      <c r="C430" s="1" t="s">
        <v>88</v>
      </c>
      <c r="D430" s="1" t="s">
        <v>739</v>
      </c>
      <c r="F430" s="1" t="s">
        <v>655</v>
      </c>
      <c r="H430" s="1" t="s">
        <v>656</v>
      </c>
      <c r="I430" s="1" t="s">
        <v>657</v>
      </c>
      <c r="J430" s="1" t="s">
        <v>365</v>
      </c>
      <c r="O430" s="1" t="s">
        <v>67</v>
      </c>
      <c r="P430" s="5">
        <v>10</v>
      </c>
      <c r="Q430" s="5" t="s">
        <v>235</v>
      </c>
      <c r="R430" s="1">
        <v>220</v>
      </c>
      <c r="S430" s="1">
        <v>220</v>
      </c>
      <c r="U430" s="1" t="s">
        <v>69</v>
      </c>
      <c r="V430" s="1" t="s">
        <v>658</v>
      </c>
      <c r="W430" s="1">
        <v>1750</v>
      </c>
      <c r="X430" s="1" t="s">
        <v>237</v>
      </c>
      <c r="AA430" s="1" t="s">
        <v>119</v>
      </c>
      <c r="AB430" s="4">
        <v>28126</v>
      </c>
      <c r="AC430" s="1" t="s">
        <v>84</v>
      </c>
      <c r="AD430" s="1" t="s">
        <v>72</v>
      </c>
      <c r="AE430" s="14" t="s">
        <v>659</v>
      </c>
      <c r="AF430" s="1" t="s">
        <v>660</v>
      </c>
      <c r="AH430" s="1" t="s">
        <v>75</v>
      </c>
      <c r="AI430" s="4">
        <v>44834</v>
      </c>
      <c r="AJ430" s="12" t="s">
        <v>657</v>
      </c>
      <c r="AM430" s="66" t="str">
        <f t="shared" si="6"/>
        <v>https://ensinoiptbr.sharepoint.com/:f:/s/ControledeAtivos/EhJ8MXW5HG9PvtCCPnLAEE8B3kWgNffGB5HboXlwVPy5DQ?e=SNDZHM</v>
      </c>
    </row>
    <row r="431" spans="1:39" ht="32.4" x14ac:dyDescent="0.35">
      <c r="A431" s="1" t="s">
        <v>26</v>
      </c>
      <c r="B431" s="1">
        <v>10</v>
      </c>
      <c r="C431" s="1" t="s">
        <v>88</v>
      </c>
      <c r="D431" s="1" t="s">
        <v>739</v>
      </c>
      <c r="F431" s="1" t="s">
        <v>661</v>
      </c>
      <c r="H431" s="1" t="s">
        <v>656</v>
      </c>
      <c r="I431" s="1" t="s">
        <v>662</v>
      </c>
      <c r="J431" s="1" t="s">
        <v>248</v>
      </c>
      <c r="O431" s="1" t="s">
        <v>67</v>
      </c>
      <c r="P431" s="1">
        <v>38</v>
      </c>
      <c r="Q431" s="1" t="s">
        <v>663</v>
      </c>
      <c r="R431" s="1">
        <v>220</v>
      </c>
      <c r="S431" s="1">
        <v>220</v>
      </c>
      <c r="U431" s="1" t="s">
        <v>664</v>
      </c>
      <c r="V431" s="1" t="s">
        <v>665</v>
      </c>
      <c r="AA431" s="1" t="s">
        <v>119</v>
      </c>
      <c r="AB431" s="4">
        <v>39814</v>
      </c>
      <c r="AC431" s="1" t="s">
        <v>120</v>
      </c>
      <c r="AD431" s="1" t="s">
        <v>85</v>
      </c>
      <c r="AE431" s="14" t="s">
        <v>666</v>
      </c>
      <c r="AF431" s="1" t="s">
        <v>660</v>
      </c>
      <c r="AH431" s="1" t="s">
        <v>75</v>
      </c>
      <c r="AI431" s="4">
        <v>44834</v>
      </c>
      <c r="AJ431" s="62" t="s">
        <v>662</v>
      </c>
      <c r="AM431" s="66" t="str">
        <f t="shared" si="6"/>
        <v>https://ensinoiptbr.sharepoint.com/:f:/s/ControledeAtivos/Esv0EOuvsyxBv3qijjcvXBABCz11vVyLSgBEwqOCF8ZjRQ?e=CtmoTL</v>
      </c>
    </row>
    <row r="432" spans="1:39" ht="32.4" x14ac:dyDescent="0.35">
      <c r="A432" s="1" t="s">
        <v>26</v>
      </c>
      <c r="B432" s="1">
        <v>10</v>
      </c>
      <c r="C432" s="1" t="s">
        <v>88</v>
      </c>
      <c r="D432" s="1" t="s">
        <v>739</v>
      </c>
      <c r="F432" s="1" t="s">
        <v>656</v>
      </c>
      <c r="H432" s="1" t="s">
        <v>656</v>
      </c>
      <c r="I432" s="1" t="s">
        <v>667</v>
      </c>
      <c r="J432" s="1" t="s">
        <v>248</v>
      </c>
      <c r="O432" s="1" t="s">
        <v>67</v>
      </c>
      <c r="P432" s="5">
        <v>75</v>
      </c>
      <c r="Q432" s="5" t="s">
        <v>235</v>
      </c>
      <c r="R432" s="1">
        <v>380</v>
      </c>
      <c r="S432" s="1">
        <v>380</v>
      </c>
      <c r="V432" s="1" t="s">
        <v>668</v>
      </c>
      <c r="AD432" s="1" t="s">
        <v>72</v>
      </c>
      <c r="AE432" s="14" t="s">
        <v>669</v>
      </c>
      <c r="AF432" s="1" t="s">
        <v>526</v>
      </c>
      <c r="AH432" s="1" t="s">
        <v>75</v>
      </c>
      <c r="AI432" s="4">
        <v>44834</v>
      </c>
      <c r="AJ432" s="12" t="s">
        <v>667</v>
      </c>
      <c r="AM432" s="66" t="str">
        <f t="shared" si="6"/>
        <v>https://ensinoiptbr.sharepoint.com/:f:/s/ControledeAtivos/EmvKkDms3ftLrUGpKZ5LQcIB9RJ6mGOW94GbQJwUF4LKjA?e=JG2wn3</v>
      </c>
    </row>
    <row r="433" spans="1:39" ht="57.6" x14ac:dyDescent="0.35">
      <c r="A433" s="1" t="s">
        <v>26</v>
      </c>
      <c r="B433" s="1">
        <v>10</v>
      </c>
      <c r="C433" s="1" t="s">
        <v>179</v>
      </c>
      <c r="D433" s="1" t="s">
        <v>739</v>
      </c>
      <c r="F433" s="1" t="s">
        <v>670</v>
      </c>
      <c r="H433" s="1" t="s">
        <v>671</v>
      </c>
      <c r="I433" s="1" t="s">
        <v>672</v>
      </c>
      <c r="J433" s="1" t="s">
        <v>673</v>
      </c>
      <c r="O433" s="1" t="s">
        <v>81</v>
      </c>
      <c r="R433" s="1">
        <v>220</v>
      </c>
      <c r="S433" s="1">
        <v>220</v>
      </c>
      <c r="V433" s="1" t="s">
        <v>674</v>
      </c>
      <c r="AD433" s="1" t="s">
        <v>215</v>
      </c>
      <c r="AE433" s="14" t="s">
        <v>675</v>
      </c>
      <c r="AF433" s="1" t="s">
        <v>676</v>
      </c>
      <c r="AH433" s="1" t="s">
        <v>112</v>
      </c>
      <c r="AI433" s="4">
        <v>44834</v>
      </c>
      <c r="AJ433" s="12" t="s">
        <v>672</v>
      </c>
      <c r="AM433" s="66" t="str">
        <f t="shared" si="6"/>
        <v>https://ensinoiptbr.sharepoint.com/:f:/s/ControledeAtivos/Et0akdXJHJJAnFG3F609ukgBmvIyKeDXs4eahgJZtxJ_Sg?e=mtZTmZ</v>
      </c>
    </row>
    <row r="434" spans="1:39" ht="81" x14ac:dyDescent="0.35">
      <c r="A434" s="1" t="s">
        <v>26</v>
      </c>
      <c r="B434" s="1">
        <v>10</v>
      </c>
      <c r="C434" s="1" t="s">
        <v>105</v>
      </c>
      <c r="D434" s="1" t="s">
        <v>739</v>
      </c>
      <c r="F434" s="1" t="s">
        <v>677</v>
      </c>
      <c r="H434" s="1" t="s">
        <v>671</v>
      </c>
      <c r="I434" s="1" t="s">
        <v>678</v>
      </c>
      <c r="J434" s="1" t="s">
        <v>679</v>
      </c>
      <c r="O434" s="1" t="s">
        <v>109</v>
      </c>
      <c r="P434" s="1">
        <v>12</v>
      </c>
      <c r="Q434" s="1" t="s">
        <v>97</v>
      </c>
      <c r="R434" s="1">
        <v>100</v>
      </c>
      <c r="S434" s="1">
        <v>240</v>
      </c>
      <c r="V434" s="1" t="s">
        <v>680</v>
      </c>
      <c r="AB434" s="4">
        <v>43831</v>
      </c>
      <c r="AD434" s="1" t="s">
        <v>215</v>
      </c>
      <c r="AE434" s="14" t="s">
        <v>681</v>
      </c>
      <c r="AF434" s="1" t="s">
        <v>682</v>
      </c>
      <c r="AH434" s="1" t="s">
        <v>75</v>
      </c>
      <c r="AI434" s="4">
        <v>44820</v>
      </c>
      <c r="AJ434" s="12" t="s">
        <v>683</v>
      </c>
      <c r="AM434" s="66" t="str">
        <f t="shared" si="6"/>
        <v>https://ensinoiptbr-my.sharepoint.com/personal/ericaugustin_ipt_br/Documents/Documentos/Prototipos/2023/Projeto Controle Ativos/SistemaAtivos2/:f:/s/ControledeAtivos/EghhlJayB4NPsK5tlKxyHJIBNc4PU3B26d_23hX8fEoxaw?e=u0Kyyf</v>
      </c>
    </row>
    <row r="435" spans="1:39" ht="81" x14ac:dyDescent="0.35">
      <c r="A435" s="1" t="s">
        <v>26</v>
      </c>
      <c r="B435" s="1">
        <v>10</v>
      </c>
      <c r="C435" s="1" t="s">
        <v>130</v>
      </c>
      <c r="D435" s="1" t="s">
        <v>739</v>
      </c>
      <c r="E435" s="1" t="s">
        <v>146</v>
      </c>
      <c r="F435" s="1" t="s">
        <v>684</v>
      </c>
      <c r="H435" s="1" t="s">
        <v>671</v>
      </c>
      <c r="I435" s="1" t="s">
        <v>685</v>
      </c>
      <c r="J435" s="1" t="s">
        <v>686</v>
      </c>
      <c r="O435" s="1" t="s">
        <v>135</v>
      </c>
      <c r="R435" s="1">
        <v>100</v>
      </c>
      <c r="S435" s="1">
        <v>120</v>
      </c>
      <c r="T435" s="1" t="s">
        <v>98</v>
      </c>
      <c r="V435" s="1" t="s">
        <v>687</v>
      </c>
      <c r="AC435" s="1" t="s">
        <v>120</v>
      </c>
      <c r="AD435" s="1" t="s">
        <v>72</v>
      </c>
      <c r="AE435" s="14" t="s">
        <v>688</v>
      </c>
      <c r="AF435" s="1" t="s">
        <v>689</v>
      </c>
      <c r="AH435" s="1" t="s">
        <v>75</v>
      </c>
      <c r="AI435" s="4">
        <v>44820</v>
      </c>
      <c r="AJ435" s="12" t="s">
        <v>678</v>
      </c>
      <c r="AM435" s="66" t="str">
        <f t="shared" si="6"/>
        <v>https://ensinoiptbr-my.sharepoint.com/personal/ericaugustin_ipt_br/Documents/Documentos/Prototipos/2023/Projeto Controle Ativos/SistemaAtivos2/:f:/s/ControledeAtivos/EsAxz8CNxtNKsmU4ObrcBOMB2GHWP287e2S7M0fD4kSaag?e=giKqd3</v>
      </c>
    </row>
    <row r="436" spans="1:39" ht="43.2" x14ac:dyDescent="0.35">
      <c r="A436" s="1" t="s">
        <v>26</v>
      </c>
      <c r="B436" s="1">
        <v>10</v>
      </c>
      <c r="C436" s="1" t="s">
        <v>114</v>
      </c>
      <c r="D436" s="1" t="s">
        <v>739</v>
      </c>
      <c r="E436" s="1" t="s">
        <v>139</v>
      </c>
      <c r="F436" s="1" t="s">
        <v>677</v>
      </c>
      <c r="H436" s="1" t="s">
        <v>671</v>
      </c>
      <c r="I436" s="1" t="s">
        <v>683</v>
      </c>
      <c r="J436" s="1" t="s">
        <v>686</v>
      </c>
      <c r="O436" s="1" t="s">
        <v>67</v>
      </c>
      <c r="R436" s="1">
        <v>110</v>
      </c>
      <c r="V436" s="1" t="s">
        <v>690</v>
      </c>
      <c r="AD436" s="1" t="s">
        <v>72</v>
      </c>
      <c r="AE436" s="14" t="s">
        <v>691</v>
      </c>
      <c r="AF436" s="1" t="s">
        <v>676</v>
      </c>
      <c r="AH436" s="1" t="s">
        <v>112</v>
      </c>
      <c r="AI436" s="4">
        <v>44852</v>
      </c>
      <c r="AJ436" s="12" t="s">
        <v>685</v>
      </c>
      <c r="AM436" s="66" t="str">
        <f t="shared" si="6"/>
        <v>https://ensinoiptbr.sharepoint.com/:f:/s/ControledeAtivos/EvdaIdnomAxLkV4VcISNsrcBnVzy4uLjRuBIdc0Pw4NTbQ?e=BO1OyT</v>
      </c>
    </row>
    <row r="437" spans="1:39" ht="81" x14ac:dyDescent="0.35">
      <c r="A437" s="1" t="s">
        <v>26</v>
      </c>
      <c r="B437" s="1">
        <v>10</v>
      </c>
      <c r="C437" s="1" t="s">
        <v>130</v>
      </c>
      <c r="D437" s="1" t="s">
        <v>739</v>
      </c>
      <c r="E437" s="1" t="s">
        <v>146</v>
      </c>
      <c r="F437" s="1" t="s">
        <v>677</v>
      </c>
      <c r="H437" s="1" t="s">
        <v>671</v>
      </c>
      <c r="I437" s="1" t="s">
        <v>692</v>
      </c>
      <c r="J437" s="1" t="s">
        <v>686</v>
      </c>
      <c r="O437" s="1" t="s">
        <v>135</v>
      </c>
      <c r="P437" s="1">
        <v>6</v>
      </c>
      <c r="Q437" s="1" t="s">
        <v>97</v>
      </c>
      <c r="R437" s="1">
        <v>100</v>
      </c>
      <c r="S437" s="1">
        <v>240</v>
      </c>
      <c r="T437" s="1" t="s">
        <v>98</v>
      </c>
      <c r="V437" s="1" t="s">
        <v>693</v>
      </c>
      <c r="AD437" s="1" t="s">
        <v>72</v>
      </c>
      <c r="AE437" s="14" t="s">
        <v>694</v>
      </c>
      <c r="AF437" s="1" t="s">
        <v>695</v>
      </c>
      <c r="AH437" s="1" t="s">
        <v>75</v>
      </c>
      <c r="AI437" s="4">
        <v>44820</v>
      </c>
      <c r="AJ437" s="12" t="s">
        <v>692</v>
      </c>
      <c r="AM437" s="66" t="str">
        <f t="shared" si="6"/>
        <v>https://ensinoiptbr-my.sharepoint.com/personal/ericaugustin_ipt_br/Documents/Documentos/Prototipos/2023/Projeto Controle Ativos/SistemaAtivos2/:f:/s/ControledeAtivos/EtW6dtH2GOxEg7m2uP6tM-AB88-gnkDd5Cpb9SbAMzshjw?e=0gOfQV</v>
      </c>
    </row>
    <row r="438" spans="1:39" ht="32.4" x14ac:dyDescent="0.35">
      <c r="A438" s="1" t="s">
        <v>26</v>
      </c>
      <c r="B438" s="1">
        <v>10</v>
      </c>
      <c r="C438" s="1" t="s">
        <v>130</v>
      </c>
      <c r="D438" s="1" t="s">
        <v>739</v>
      </c>
      <c r="E438" s="1" t="s">
        <v>146</v>
      </c>
      <c r="F438" s="1" t="s">
        <v>696</v>
      </c>
      <c r="H438" s="1" t="s">
        <v>697</v>
      </c>
      <c r="I438" s="1" t="s">
        <v>698</v>
      </c>
      <c r="J438" s="1" t="s">
        <v>699</v>
      </c>
      <c r="O438" s="1" t="s">
        <v>135</v>
      </c>
      <c r="R438" s="1">
        <v>110</v>
      </c>
      <c r="S438" s="1">
        <v>220</v>
      </c>
      <c r="V438" s="1" t="s">
        <v>700</v>
      </c>
      <c r="W438" s="1">
        <v>1700</v>
      </c>
      <c r="X438" s="1" t="s">
        <v>237</v>
      </c>
      <c r="AA438" s="1" t="s">
        <v>119</v>
      </c>
      <c r="AC438" s="1" t="s">
        <v>84</v>
      </c>
      <c r="AD438" s="1" t="s">
        <v>72</v>
      </c>
      <c r="AE438" s="14" t="s">
        <v>701</v>
      </c>
      <c r="AF438" s="1" t="s">
        <v>702</v>
      </c>
      <c r="AH438" s="1" t="s">
        <v>75</v>
      </c>
      <c r="AI438" s="4">
        <v>44862</v>
      </c>
      <c r="AJ438" s="12" t="s">
        <v>698</v>
      </c>
      <c r="AM438" s="66" t="str">
        <f t="shared" si="6"/>
        <v>https://ensinoiptbr.sharepoint.com/:f:/s/ControledeAtivos/EtFRxpOsL9JMu8lmOazkn0YBUjXqRGWfT-xN4T4qR2mlDg?e=qD9AzW</v>
      </c>
    </row>
    <row r="439" spans="1:39" ht="81" x14ac:dyDescent="0.35">
      <c r="A439" s="1" t="s">
        <v>26</v>
      </c>
      <c r="B439" s="1">
        <v>10</v>
      </c>
      <c r="C439" s="1" t="s">
        <v>114</v>
      </c>
      <c r="D439" s="1" t="s">
        <v>739</v>
      </c>
      <c r="E439" s="1" t="s">
        <v>146</v>
      </c>
      <c r="F439" s="1" t="s">
        <v>703</v>
      </c>
      <c r="H439" s="1" t="s">
        <v>697</v>
      </c>
      <c r="I439" s="1" t="s">
        <v>704</v>
      </c>
      <c r="J439" s="1" t="s">
        <v>705</v>
      </c>
      <c r="O439" s="1" t="s">
        <v>234</v>
      </c>
      <c r="P439" s="1">
        <v>150</v>
      </c>
      <c r="Q439" s="1" t="s">
        <v>97</v>
      </c>
      <c r="R439" s="1">
        <v>220</v>
      </c>
      <c r="V439" s="1" t="s">
        <v>706</v>
      </c>
      <c r="AA439" s="1" t="s">
        <v>119</v>
      </c>
      <c r="AE439" s="14">
        <v>3911</v>
      </c>
      <c r="AF439" s="1" t="s">
        <v>702</v>
      </c>
      <c r="AH439" s="1" t="s">
        <v>258</v>
      </c>
      <c r="AI439" s="4">
        <v>44813</v>
      </c>
      <c r="AJ439" s="12" t="s">
        <v>707</v>
      </c>
      <c r="AM439" s="66" t="str">
        <f t="shared" si="6"/>
        <v>https://ensinoiptbr-my.sharepoint.com/personal/ericaugustin_ipt_br/Documents/Documentos/Prototipos/2023/Projeto Controle Ativos/SistemaAtivos2/:f:/s/ControledeAtivos/EgzF4C0M3GNOiEwPFcIe_3oB68ntQ_MxHIH5SwFcKWQkMA?e=j3z75g</v>
      </c>
    </row>
    <row r="440" spans="1:39" ht="81" x14ac:dyDescent="0.35">
      <c r="A440" s="1" t="s">
        <v>26</v>
      </c>
      <c r="B440" s="1">
        <v>10</v>
      </c>
      <c r="C440" s="1" t="s">
        <v>130</v>
      </c>
      <c r="D440" s="1" t="s">
        <v>739</v>
      </c>
      <c r="E440" s="1" t="s">
        <v>146</v>
      </c>
      <c r="F440" s="1" t="s">
        <v>703</v>
      </c>
      <c r="H440" s="1" t="s">
        <v>697</v>
      </c>
      <c r="I440" s="1" t="s">
        <v>708</v>
      </c>
      <c r="J440" s="1" t="s">
        <v>705</v>
      </c>
      <c r="O440" s="1" t="s">
        <v>135</v>
      </c>
      <c r="P440" s="1">
        <v>150</v>
      </c>
      <c r="Q440" s="1" t="s">
        <v>97</v>
      </c>
      <c r="R440" s="1">
        <v>220</v>
      </c>
      <c r="S440" s="1">
        <v>220</v>
      </c>
      <c r="V440" s="1" t="s">
        <v>706</v>
      </c>
      <c r="W440" s="1">
        <v>15</v>
      </c>
      <c r="X440" s="1" t="s">
        <v>709</v>
      </c>
      <c r="AA440" s="1" t="s">
        <v>119</v>
      </c>
      <c r="AD440" s="1" t="s">
        <v>72</v>
      </c>
      <c r="AE440" s="14">
        <v>3912</v>
      </c>
      <c r="AF440" s="1" t="s">
        <v>702</v>
      </c>
      <c r="AH440" s="1" t="s">
        <v>258</v>
      </c>
      <c r="AI440" s="4">
        <v>44890</v>
      </c>
      <c r="AJ440" s="12" t="s">
        <v>704</v>
      </c>
      <c r="AM440" s="66" t="str">
        <f t="shared" si="6"/>
        <v>https://ensinoiptbr-my.sharepoint.com/personal/ericaugustin_ipt_br/Documents/Documentos/Prototipos/2023/Projeto Controle Ativos/SistemaAtivos2/:f:/s/ControledeAtivos/ElUxamn9IiNBixBX4qb_sewB6ybwaz3dzis1u-GFNYA2KQ?e=gDzKyS</v>
      </c>
    </row>
    <row r="441" spans="1:39" ht="81" x14ac:dyDescent="0.35">
      <c r="A441" s="1" t="s">
        <v>26</v>
      </c>
      <c r="B441" s="1">
        <v>10</v>
      </c>
      <c r="C441" s="1" t="s">
        <v>114</v>
      </c>
      <c r="D441" s="1" t="s">
        <v>739</v>
      </c>
      <c r="E441" s="1" t="s">
        <v>710</v>
      </c>
      <c r="F441" s="1" t="s">
        <v>711</v>
      </c>
      <c r="H441" s="1" t="s">
        <v>712</v>
      </c>
      <c r="I441" s="1" t="s">
        <v>713</v>
      </c>
      <c r="J441" s="1" t="s">
        <v>126</v>
      </c>
      <c r="O441" s="1" t="s">
        <v>234</v>
      </c>
      <c r="P441" s="1">
        <v>2000</v>
      </c>
      <c r="Q441" s="1" t="s">
        <v>97</v>
      </c>
      <c r="R441" s="1">
        <v>220</v>
      </c>
      <c r="V441" s="1" t="s">
        <v>714</v>
      </c>
      <c r="AA441" s="1" t="s">
        <v>119</v>
      </c>
      <c r="AB441" s="4">
        <v>39083</v>
      </c>
      <c r="AC441" s="1" t="s">
        <v>715</v>
      </c>
      <c r="AE441" s="14">
        <v>6683</v>
      </c>
      <c r="AF441" s="34" t="s">
        <v>716</v>
      </c>
      <c r="AH441" s="1" t="s">
        <v>258</v>
      </c>
      <c r="AI441" s="4">
        <v>44813</v>
      </c>
      <c r="AJ441" s="12" t="s">
        <v>713</v>
      </c>
      <c r="AM441" s="66" t="str">
        <f t="shared" si="6"/>
        <v>https://ensinoiptbr-my.sharepoint.com/personal/ericaugustin_ipt_br/Documents/Documentos/Prototipos/2023/Projeto Controle Ativos/SistemaAtivos2/:f:/s/ControledeAtivos/EsQAkbl-pb9Bl25Ztsw-TuYB1aoFSe5m_DsIS-pkCvVutw?e=9uNPtf</v>
      </c>
    </row>
    <row r="442" spans="1:39" ht="81" x14ac:dyDescent="0.35">
      <c r="A442" s="1" t="s">
        <v>26</v>
      </c>
      <c r="B442" s="1">
        <v>10</v>
      </c>
      <c r="C442" s="1" t="s">
        <v>130</v>
      </c>
      <c r="D442" s="1" t="s">
        <v>739</v>
      </c>
      <c r="E442" s="1" t="s">
        <v>146</v>
      </c>
      <c r="F442" s="1" t="s">
        <v>717</v>
      </c>
      <c r="H442" s="1" t="s">
        <v>718</v>
      </c>
      <c r="I442" s="1" t="s">
        <v>719</v>
      </c>
      <c r="J442" s="1" t="s">
        <v>282</v>
      </c>
      <c r="O442" s="1" t="s">
        <v>234</v>
      </c>
      <c r="R442" s="1">
        <v>110</v>
      </c>
      <c r="V442" s="1" t="s">
        <v>720</v>
      </c>
      <c r="AA442" s="1" t="s">
        <v>721</v>
      </c>
      <c r="AB442" s="4">
        <v>33239</v>
      </c>
      <c r="AC442" s="1" t="s">
        <v>101</v>
      </c>
      <c r="AE442" s="14">
        <v>1832</v>
      </c>
      <c r="AF442" s="1" t="s">
        <v>722</v>
      </c>
      <c r="AH442" s="1" t="s">
        <v>258</v>
      </c>
      <c r="AI442" s="4">
        <v>44813</v>
      </c>
      <c r="AJ442" s="12" t="s">
        <v>719</v>
      </c>
      <c r="AM442" s="66" t="str">
        <f t="shared" si="6"/>
        <v>https://ensinoiptbr-my.sharepoint.com/personal/ericaugustin_ipt_br/Documents/Documentos/Prototipos/2023/Projeto Controle Ativos/SistemaAtivos2/:f:/s/ControledeAtivos/EqV_M-M50m9Au50lEbwXRBEBGeHhz3kz24jDk3JiMQKpEw?e=gJNXhG</v>
      </c>
    </row>
    <row r="443" spans="1:39" ht="81" x14ac:dyDescent="0.35">
      <c r="A443" s="1" t="s">
        <v>26</v>
      </c>
      <c r="B443" s="1">
        <v>10</v>
      </c>
      <c r="C443" s="1" t="s">
        <v>124</v>
      </c>
      <c r="D443" s="1" t="s">
        <v>739</v>
      </c>
      <c r="F443" s="1" t="s">
        <v>723</v>
      </c>
      <c r="H443" s="1" t="s">
        <v>724</v>
      </c>
      <c r="I443" s="1" t="s">
        <v>725</v>
      </c>
      <c r="J443" s="1" t="s">
        <v>726</v>
      </c>
      <c r="O443" s="1" t="s">
        <v>109</v>
      </c>
      <c r="P443" s="1">
        <v>1</v>
      </c>
      <c r="Q443" s="1" t="s">
        <v>235</v>
      </c>
      <c r="R443" s="1">
        <v>220</v>
      </c>
      <c r="S443" s="1">
        <v>220</v>
      </c>
      <c r="U443" s="1" t="s">
        <v>98</v>
      </c>
      <c r="V443" s="1" t="s">
        <v>727</v>
      </c>
      <c r="AA443" s="1" t="s">
        <v>119</v>
      </c>
      <c r="AC443" s="1" t="s">
        <v>120</v>
      </c>
      <c r="AD443" s="1" t="s">
        <v>215</v>
      </c>
      <c r="AE443" s="14" t="s">
        <v>728</v>
      </c>
      <c r="AF443" s="1" t="s">
        <v>729</v>
      </c>
      <c r="AH443" s="1" t="s">
        <v>75</v>
      </c>
      <c r="AI443" s="4">
        <v>44827</v>
      </c>
      <c r="AJ443" s="12" t="s">
        <v>725</v>
      </c>
      <c r="AM443" s="66" t="str">
        <f t="shared" si="6"/>
        <v>https://ensinoiptbr-my.sharepoint.com/personal/ericaugustin_ipt_br/Documents/Documentos/Prototipos/2023/Projeto Controle Ativos/SistemaAtivos2/:f:/s/ControledeAtivos/Ei-twD2_beFLgvEN4DNCqq0Bf_ZmlcJ9Bp2SKav6Bq6oYQ?e=K5XJc6</v>
      </c>
    </row>
    <row r="444" spans="1:39" ht="81" x14ac:dyDescent="0.35">
      <c r="A444" s="1" t="s">
        <v>26</v>
      </c>
      <c r="B444" s="1">
        <v>10</v>
      </c>
      <c r="C444" s="1" t="s">
        <v>130</v>
      </c>
      <c r="D444" s="1" t="s">
        <v>739</v>
      </c>
      <c r="E444" s="1" t="s">
        <v>146</v>
      </c>
      <c r="F444" s="1" t="s">
        <v>730</v>
      </c>
      <c r="H444" s="1" t="s">
        <v>724</v>
      </c>
      <c r="I444" s="1" t="s">
        <v>731</v>
      </c>
      <c r="J444" s="1" t="s">
        <v>126</v>
      </c>
      <c r="O444" s="1" t="s">
        <v>135</v>
      </c>
      <c r="R444" s="1">
        <v>220</v>
      </c>
      <c r="V444" s="1" t="s">
        <v>732</v>
      </c>
      <c r="W444" s="1">
        <v>5500</v>
      </c>
      <c r="X444" s="1" t="s">
        <v>237</v>
      </c>
      <c r="AC444" s="1" t="s">
        <v>151</v>
      </c>
      <c r="AD444" s="1" t="s">
        <v>72</v>
      </c>
      <c r="AE444" s="14" t="s">
        <v>733</v>
      </c>
      <c r="AF444" s="1" t="s">
        <v>734</v>
      </c>
      <c r="AH444" s="1" t="s">
        <v>258</v>
      </c>
      <c r="AI444" s="4">
        <v>44820</v>
      </c>
      <c r="AJ444" s="12" t="s">
        <v>731</v>
      </c>
      <c r="AM444" s="66" t="str">
        <f t="shared" si="6"/>
        <v>https://ensinoiptbr-my.sharepoint.com/personal/ericaugustin_ipt_br/Documents/Documentos/Prototipos/2023/Projeto Controle Ativos/SistemaAtivos2/:f:/s/ControledeAtivos/EoOp1tUcuZxBrlHrhsoF2TEBNYK0y9GxFLEkXr79YUJW8A?e=nJG7fM</v>
      </c>
    </row>
    <row r="445" spans="1:39" ht="81" x14ac:dyDescent="0.35">
      <c r="A445" s="1" t="s">
        <v>26</v>
      </c>
      <c r="B445" s="1">
        <v>10</v>
      </c>
      <c r="C445" s="1" t="s">
        <v>130</v>
      </c>
      <c r="D445" s="1" t="s">
        <v>739</v>
      </c>
      <c r="E445" s="1" t="s">
        <v>710</v>
      </c>
      <c r="F445" s="1" t="s">
        <v>735</v>
      </c>
      <c r="H445" s="1" t="s">
        <v>724</v>
      </c>
      <c r="I445" s="1" t="s">
        <v>736</v>
      </c>
      <c r="J445" s="1" t="s">
        <v>705</v>
      </c>
      <c r="O445" s="1" t="s">
        <v>135</v>
      </c>
      <c r="P445" s="1">
        <v>452</v>
      </c>
      <c r="Q445" s="1" t="s">
        <v>97</v>
      </c>
      <c r="R445" s="1">
        <v>220</v>
      </c>
      <c r="S445" s="1">
        <v>220</v>
      </c>
      <c r="V445" s="1" t="s">
        <v>737</v>
      </c>
      <c r="AA445" s="1" t="s">
        <v>119</v>
      </c>
      <c r="AD445" s="1" t="s">
        <v>72</v>
      </c>
      <c r="AE445" s="14">
        <v>3914</v>
      </c>
      <c r="AF445" s="1" t="s">
        <v>738</v>
      </c>
      <c r="AH445" s="1" t="s">
        <v>258</v>
      </c>
      <c r="AI445" s="4">
        <v>44813</v>
      </c>
      <c r="AJ445" s="12" t="s">
        <v>736</v>
      </c>
      <c r="AM445" s="66" t="str">
        <f t="shared" si="6"/>
        <v>https://ensinoiptbr-my.sharepoint.com/personal/ericaugustin_ipt_br/Documents/Documentos/Prototipos/2023/Projeto Controle Ativos/SistemaAtivos2/:f:/s/ControledeAtivos/Et49-mm6h39LkNUA3bQQz7ABCAB46h3v9_veoz5vXlUf5A?e=4GquQ5</v>
      </c>
    </row>
    <row r="446" spans="1:39" ht="28.8" x14ac:dyDescent="0.35">
      <c r="A446" s="1" t="s">
        <v>26</v>
      </c>
      <c r="B446" s="1">
        <v>10</v>
      </c>
      <c r="C446" s="1" t="s">
        <v>130</v>
      </c>
      <c r="D446" s="1" t="s">
        <v>739</v>
      </c>
      <c r="E446" s="1" t="s">
        <v>710</v>
      </c>
      <c r="F446" s="1" t="s">
        <v>735</v>
      </c>
      <c r="H446" s="1" t="s">
        <v>724</v>
      </c>
      <c r="I446" s="1" t="s">
        <v>2347</v>
      </c>
      <c r="J446" s="1" t="s">
        <v>705</v>
      </c>
      <c r="O446" s="1" t="s">
        <v>234</v>
      </c>
      <c r="P446" s="1">
        <v>452</v>
      </c>
      <c r="Q446" s="1" t="s">
        <v>97</v>
      </c>
      <c r="R446" s="1">
        <v>220</v>
      </c>
      <c r="V446" s="1" t="s">
        <v>737</v>
      </c>
      <c r="AA446" s="1" t="s">
        <v>119</v>
      </c>
      <c r="AF446" s="1" t="s">
        <v>738</v>
      </c>
      <c r="AH446" s="1" t="s">
        <v>2348</v>
      </c>
      <c r="AI446" s="4">
        <v>44862</v>
      </c>
      <c r="AJ446" s="4"/>
      <c r="AK446" s="2" t="s">
        <v>2349</v>
      </c>
      <c r="AM446" s="66" t="str">
        <f t="shared" si="6"/>
        <v/>
      </c>
    </row>
    <row r="447" spans="1:39" ht="16.2" x14ac:dyDescent="0.35">
      <c r="A447" s="1" t="s">
        <v>26</v>
      </c>
      <c r="B447" s="1">
        <v>10</v>
      </c>
      <c r="C447" s="1" t="s">
        <v>2590</v>
      </c>
      <c r="D447" s="1" t="s">
        <v>739</v>
      </c>
      <c r="F447" s="1" t="s">
        <v>703</v>
      </c>
      <c r="H447" s="1" t="s">
        <v>697</v>
      </c>
      <c r="I447" s="1" t="s">
        <v>707</v>
      </c>
      <c r="J447" s="1" t="s">
        <v>117</v>
      </c>
      <c r="O447" s="1" t="s">
        <v>234</v>
      </c>
      <c r="P447" s="1">
        <v>250</v>
      </c>
      <c r="Q447" s="1" t="s">
        <v>97</v>
      </c>
      <c r="R447" s="1">
        <v>220</v>
      </c>
      <c r="V447" s="1" t="s">
        <v>2350</v>
      </c>
      <c r="AM447" s="66" t="str">
        <f t="shared" si="6"/>
        <v/>
      </c>
    </row>
    <row r="448" spans="1:39" ht="28.8" x14ac:dyDescent="0.35">
      <c r="A448" s="1" t="s">
        <v>26</v>
      </c>
      <c r="B448" s="1">
        <v>10</v>
      </c>
      <c r="C448" s="1" t="s">
        <v>77</v>
      </c>
      <c r="D448" s="1" t="s">
        <v>739</v>
      </c>
      <c r="F448" s="1" t="s">
        <v>2351</v>
      </c>
      <c r="H448" s="1" t="s">
        <v>697</v>
      </c>
      <c r="I448" s="1" t="s">
        <v>2352</v>
      </c>
      <c r="J448" s="1" t="s">
        <v>1129</v>
      </c>
      <c r="O448" s="1" t="s">
        <v>234</v>
      </c>
      <c r="P448" s="5">
        <v>12.5</v>
      </c>
      <c r="Q448" s="5" t="s">
        <v>68</v>
      </c>
      <c r="R448" s="1">
        <v>220</v>
      </c>
      <c r="V448" s="1" t="s">
        <v>2353</v>
      </c>
      <c r="W448" s="1">
        <v>3500</v>
      </c>
      <c r="X448" s="1" t="s">
        <v>237</v>
      </c>
      <c r="AA448" s="1" t="s">
        <v>119</v>
      </c>
      <c r="AB448" s="4">
        <v>30682</v>
      </c>
      <c r="AC448" s="1" t="s">
        <v>84</v>
      </c>
      <c r="AF448" s="1" t="s">
        <v>2354</v>
      </c>
      <c r="AM448" s="66" t="str">
        <f t="shared" si="6"/>
        <v/>
      </c>
    </row>
    <row r="449" spans="1:39" ht="28.8" x14ac:dyDescent="0.35">
      <c r="A449" s="1" t="s">
        <v>26</v>
      </c>
      <c r="B449" s="1">
        <v>10</v>
      </c>
      <c r="C449" s="1" t="s">
        <v>77</v>
      </c>
      <c r="D449" s="1" t="s">
        <v>739</v>
      </c>
      <c r="F449" s="1" t="s">
        <v>2355</v>
      </c>
      <c r="H449" s="1" t="s">
        <v>385</v>
      </c>
      <c r="I449" s="1" t="s">
        <v>423</v>
      </c>
      <c r="J449" s="1" t="s">
        <v>573</v>
      </c>
      <c r="O449" s="1" t="s">
        <v>234</v>
      </c>
      <c r="P449" s="5">
        <v>5</v>
      </c>
      <c r="Q449" s="5" t="s">
        <v>68</v>
      </c>
      <c r="R449" s="1">
        <v>220</v>
      </c>
      <c r="U449" s="1" t="s">
        <v>69</v>
      </c>
      <c r="W449" s="1">
        <v>120</v>
      </c>
      <c r="X449" s="1" t="s">
        <v>427</v>
      </c>
      <c r="AA449" s="1" t="s">
        <v>83</v>
      </c>
      <c r="AC449" s="1" t="s">
        <v>84</v>
      </c>
      <c r="AF449" s="1" t="s">
        <v>2356</v>
      </c>
      <c r="AM449" s="66" t="str">
        <f t="shared" si="6"/>
        <v/>
      </c>
    </row>
    <row r="450" spans="1:39" ht="16.2" x14ac:dyDescent="0.35">
      <c r="A450" s="1" t="s">
        <v>26</v>
      </c>
      <c r="B450" s="1">
        <v>10</v>
      </c>
      <c r="C450" s="1" t="s">
        <v>2590</v>
      </c>
      <c r="D450" s="1" t="s">
        <v>739</v>
      </c>
      <c r="F450" s="1" t="s">
        <v>2357</v>
      </c>
      <c r="H450" s="1" t="s">
        <v>288</v>
      </c>
      <c r="I450" s="1" t="s">
        <v>2358</v>
      </c>
      <c r="J450" s="1" t="s">
        <v>2359</v>
      </c>
      <c r="O450" s="1" t="s">
        <v>234</v>
      </c>
      <c r="P450" s="5">
        <v>2</v>
      </c>
      <c r="Q450" s="5" t="s">
        <v>68</v>
      </c>
      <c r="R450" s="1">
        <v>220</v>
      </c>
      <c r="U450" s="1" t="s">
        <v>176</v>
      </c>
      <c r="AF450" s="1" t="s">
        <v>2360</v>
      </c>
      <c r="AM450" s="66" t="str">
        <f t="shared" si="6"/>
        <v/>
      </c>
    </row>
    <row r="451" spans="1:39" ht="16.2" x14ac:dyDescent="0.35">
      <c r="A451" s="1" t="s">
        <v>26</v>
      </c>
      <c r="B451" s="1">
        <v>10</v>
      </c>
      <c r="C451" s="1" t="s">
        <v>2590</v>
      </c>
      <c r="D451" s="1" t="s">
        <v>739</v>
      </c>
      <c r="F451" s="1" t="s">
        <v>317</v>
      </c>
      <c r="H451" s="1" t="s">
        <v>318</v>
      </c>
      <c r="I451" s="1" t="s">
        <v>2361</v>
      </c>
      <c r="J451" s="1" t="s">
        <v>290</v>
      </c>
      <c r="O451" s="1" t="s">
        <v>234</v>
      </c>
      <c r="R451" s="1">
        <v>110</v>
      </c>
      <c r="S451" s="1">
        <v>220</v>
      </c>
      <c r="V451" s="1" t="s">
        <v>2362</v>
      </c>
      <c r="AC451" s="1" t="s">
        <v>151</v>
      </c>
      <c r="AF451" s="1" t="s">
        <v>2363</v>
      </c>
      <c r="AM451" s="66" t="str">
        <f t="shared" ref="AM451:AM472" si="7">ExtrairCaminhoHiperlink(AJ451)</f>
        <v/>
      </c>
    </row>
    <row r="452" spans="1:39" ht="16.2" x14ac:dyDescent="0.35">
      <c r="A452" s="1" t="s">
        <v>26</v>
      </c>
      <c r="B452" s="1">
        <v>10</v>
      </c>
      <c r="C452" s="1" t="s">
        <v>2590</v>
      </c>
      <c r="D452" s="1" t="s">
        <v>739</v>
      </c>
      <c r="F452" s="1" t="s">
        <v>2364</v>
      </c>
      <c r="H452" s="1" t="s">
        <v>64</v>
      </c>
      <c r="I452" s="1" t="s">
        <v>2365</v>
      </c>
      <c r="J452" s="1" t="s">
        <v>2590</v>
      </c>
      <c r="O452" s="1" t="s">
        <v>234</v>
      </c>
      <c r="AH452" s="1" t="s">
        <v>2366</v>
      </c>
      <c r="AI452" s="4">
        <v>44862</v>
      </c>
      <c r="AK452" s="2" t="s">
        <v>2366</v>
      </c>
      <c r="AM452" s="66" t="str">
        <f t="shared" si="7"/>
        <v/>
      </c>
    </row>
    <row r="453" spans="1:39" ht="16.2" x14ac:dyDescent="0.35">
      <c r="A453" s="1" t="s">
        <v>26</v>
      </c>
      <c r="B453" s="1">
        <v>10</v>
      </c>
      <c r="C453" s="1" t="s">
        <v>2590</v>
      </c>
      <c r="D453" s="1" t="s">
        <v>739</v>
      </c>
      <c r="F453" s="1" t="s">
        <v>2367</v>
      </c>
      <c r="H453" s="1" t="s">
        <v>64</v>
      </c>
      <c r="I453" s="1" t="s">
        <v>2368</v>
      </c>
      <c r="J453" s="1" t="s">
        <v>2590</v>
      </c>
      <c r="O453" s="1" t="s">
        <v>234</v>
      </c>
      <c r="AC453" s="1" t="s">
        <v>120</v>
      </c>
      <c r="AF453" s="1" t="s">
        <v>2369</v>
      </c>
      <c r="AH453" s="1" t="s">
        <v>2366</v>
      </c>
      <c r="AI453" s="4">
        <v>44862</v>
      </c>
      <c r="AK453" s="2" t="s">
        <v>2366</v>
      </c>
      <c r="AM453" s="66" t="str">
        <f t="shared" si="7"/>
        <v/>
      </c>
    </row>
    <row r="454" spans="1:39" ht="16.2" x14ac:dyDescent="0.35">
      <c r="A454" s="1" t="s">
        <v>26</v>
      </c>
      <c r="B454" s="1">
        <v>10</v>
      </c>
      <c r="C454" s="1" t="s">
        <v>2590</v>
      </c>
      <c r="D454" s="1" t="s">
        <v>739</v>
      </c>
      <c r="F454" s="1" t="s">
        <v>2367</v>
      </c>
      <c r="H454" s="1" t="s">
        <v>64</v>
      </c>
      <c r="I454" s="1" t="s">
        <v>2370</v>
      </c>
      <c r="J454" s="1" t="s">
        <v>2590</v>
      </c>
      <c r="O454" s="1" t="s">
        <v>234</v>
      </c>
      <c r="AC454" s="1" t="s">
        <v>120</v>
      </c>
      <c r="AF454" s="1" t="s">
        <v>2369</v>
      </c>
      <c r="AH454" s="1" t="s">
        <v>2366</v>
      </c>
      <c r="AI454" s="4">
        <v>44862</v>
      </c>
      <c r="AK454" s="2" t="s">
        <v>2366</v>
      </c>
      <c r="AM454" s="66" t="str">
        <f t="shared" si="7"/>
        <v/>
      </c>
    </row>
    <row r="455" spans="1:39" ht="16.2" x14ac:dyDescent="0.35">
      <c r="A455" s="1" t="s">
        <v>26</v>
      </c>
      <c r="B455" s="1">
        <v>10</v>
      </c>
      <c r="C455" s="1" t="s">
        <v>2590</v>
      </c>
      <c r="D455" s="1" t="s">
        <v>739</v>
      </c>
      <c r="F455" s="1" t="s">
        <v>2371</v>
      </c>
      <c r="H455" s="1" t="s">
        <v>64</v>
      </c>
      <c r="I455" s="1" t="s">
        <v>113</v>
      </c>
      <c r="J455" s="1" t="s">
        <v>2590</v>
      </c>
      <c r="O455" s="1" t="s">
        <v>234</v>
      </c>
      <c r="R455" s="1">
        <v>220</v>
      </c>
      <c r="AH455" s="1" t="s">
        <v>566</v>
      </c>
      <c r="AI455" s="4">
        <v>44862</v>
      </c>
      <c r="AK455" s="2" t="s">
        <v>2366</v>
      </c>
      <c r="AM455" s="66" t="str">
        <f t="shared" si="7"/>
        <v/>
      </c>
    </row>
    <row r="456" spans="1:39" ht="16.2" x14ac:dyDescent="0.35">
      <c r="A456" s="1" t="s">
        <v>26</v>
      </c>
      <c r="B456" s="1">
        <v>10</v>
      </c>
      <c r="C456" s="1" t="s">
        <v>2590</v>
      </c>
      <c r="D456" s="1" t="s">
        <v>739</v>
      </c>
      <c r="F456" s="1" t="s">
        <v>273</v>
      </c>
      <c r="H456" s="1" t="s">
        <v>273</v>
      </c>
      <c r="I456" s="1" t="s">
        <v>279</v>
      </c>
      <c r="J456" s="1" t="s">
        <v>726</v>
      </c>
      <c r="O456" s="1" t="s">
        <v>234</v>
      </c>
      <c r="V456" s="1" t="s">
        <v>2372</v>
      </c>
      <c r="AA456" s="1" t="s">
        <v>2373</v>
      </c>
      <c r="AB456" s="4">
        <v>35065</v>
      </c>
      <c r="AF456" s="1" t="s">
        <v>2374</v>
      </c>
      <c r="AH456" s="1" t="s">
        <v>566</v>
      </c>
      <c r="AI456" s="4">
        <v>44862</v>
      </c>
      <c r="AK456" s="2" t="s">
        <v>2366</v>
      </c>
      <c r="AM456" s="66" t="str">
        <f t="shared" si="7"/>
        <v/>
      </c>
    </row>
    <row r="457" spans="1:39" ht="16.2" x14ac:dyDescent="0.35">
      <c r="A457" s="1" t="s">
        <v>26</v>
      </c>
      <c r="B457" s="1">
        <v>10</v>
      </c>
      <c r="C457" s="1" t="s">
        <v>2590</v>
      </c>
      <c r="D457" s="1" t="s">
        <v>739</v>
      </c>
      <c r="F457" s="1" t="s">
        <v>490</v>
      </c>
      <c r="H457" s="1" t="s">
        <v>491</v>
      </c>
      <c r="I457" s="1" t="s">
        <v>504</v>
      </c>
      <c r="J457" s="1" t="s">
        <v>2375</v>
      </c>
      <c r="O457" s="1" t="s">
        <v>234</v>
      </c>
      <c r="R457" s="1">
        <v>220</v>
      </c>
      <c r="AA457" s="1" t="s">
        <v>119</v>
      </c>
      <c r="AC457" s="1" t="s">
        <v>84</v>
      </c>
      <c r="AF457" s="1" t="s">
        <v>489</v>
      </c>
      <c r="AH457" s="1" t="s">
        <v>566</v>
      </c>
      <c r="AI457" s="4">
        <v>44862</v>
      </c>
      <c r="AK457" s="2" t="s">
        <v>2366</v>
      </c>
      <c r="AM457" s="66" t="str">
        <f t="shared" si="7"/>
        <v/>
      </c>
    </row>
    <row r="458" spans="1:39" ht="16.2" x14ac:dyDescent="0.35">
      <c r="A458" s="1" t="s">
        <v>26</v>
      </c>
      <c r="B458" s="1">
        <v>10</v>
      </c>
      <c r="C458" s="1" t="s">
        <v>2590</v>
      </c>
      <c r="D458" s="1" t="s">
        <v>739</v>
      </c>
      <c r="F458" s="1" t="s">
        <v>2376</v>
      </c>
      <c r="H458" s="1" t="s">
        <v>491</v>
      </c>
      <c r="I458" s="1" t="s">
        <v>2377</v>
      </c>
      <c r="J458" s="1" t="s">
        <v>493</v>
      </c>
      <c r="O458" s="1" t="s">
        <v>234</v>
      </c>
      <c r="R458" s="1">
        <v>220</v>
      </c>
      <c r="V458" s="1">
        <v>320</v>
      </c>
      <c r="AA458" s="1" t="s">
        <v>119</v>
      </c>
      <c r="AC458" s="1" t="s">
        <v>84</v>
      </c>
      <c r="AF458" s="1" t="s">
        <v>489</v>
      </c>
      <c r="AH458" s="1" t="s">
        <v>566</v>
      </c>
      <c r="AI458" s="4">
        <v>44862</v>
      </c>
      <c r="AK458" s="2" t="s">
        <v>2366</v>
      </c>
      <c r="AM458" s="66" t="str">
        <f t="shared" si="7"/>
        <v/>
      </c>
    </row>
    <row r="459" spans="1:39" ht="16.2" x14ac:dyDescent="0.35">
      <c r="A459" s="1" t="s">
        <v>26</v>
      </c>
      <c r="B459" s="1">
        <v>10</v>
      </c>
      <c r="C459" s="1" t="s">
        <v>2590</v>
      </c>
      <c r="D459" s="1" t="s">
        <v>739</v>
      </c>
      <c r="F459" s="1" t="s">
        <v>2376</v>
      </c>
      <c r="H459" s="1" t="s">
        <v>491</v>
      </c>
      <c r="I459" s="1" t="s">
        <v>2378</v>
      </c>
      <c r="J459" s="1" t="s">
        <v>2379</v>
      </c>
      <c r="O459" s="1" t="s">
        <v>234</v>
      </c>
      <c r="V459" s="1">
        <v>116</v>
      </c>
      <c r="AA459" s="1" t="s">
        <v>119</v>
      </c>
      <c r="AC459" s="1" t="s">
        <v>84</v>
      </c>
      <c r="AF459" s="1" t="s">
        <v>2380</v>
      </c>
      <c r="AH459" s="1" t="s">
        <v>566</v>
      </c>
      <c r="AI459" s="4">
        <v>44862</v>
      </c>
      <c r="AK459" s="2" t="s">
        <v>2366</v>
      </c>
      <c r="AM459" s="66" t="str">
        <f t="shared" si="7"/>
        <v/>
      </c>
    </row>
    <row r="460" spans="1:39" ht="16.2" x14ac:dyDescent="0.35">
      <c r="A460" s="1" t="s">
        <v>26</v>
      </c>
      <c r="B460" s="1">
        <v>10</v>
      </c>
      <c r="C460" s="1" t="s">
        <v>2590</v>
      </c>
      <c r="D460" s="1" t="s">
        <v>739</v>
      </c>
      <c r="F460" s="1" t="s">
        <v>2381</v>
      </c>
      <c r="H460" s="1" t="s">
        <v>64</v>
      </c>
      <c r="I460" s="1" t="s">
        <v>104</v>
      </c>
      <c r="J460" s="1" t="s">
        <v>2590</v>
      </c>
      <c r="O460" s="1" t="s">
        <v>234</v>
      </c>
      <c r="AH460" s="1" t="s">
        <v>566</v>
      </c>
      <c r="AI460" s="4">
        <v>44834</v>
      </c>
      <c r="AK460" s="2" t="s">
        <v>2366</v>
      </c>
      <c r="AM460" s="66" t="str">
        <f t="shared" si="7"/>
        <v/>
      </c>
    </row>
    <row r="461" spans="1:39" ht="28.8" x14ac:dyDescent="0.35">
      <c r="A461" s="1" t="s">
        <v>26</v>
      </c>
      <c r="B461" s="1">
        <v>10</v>
      </c>
      <c r="C461" s="1" t="s">
        <v>77</v>
      </c>
      <c r="D461" s="1" t="s">
        <v>739</v>
      </c>
      <c r="F461" s="1" t="s">
        <v>2382</v>
      </c>
      <c r="H461" s="1" t="s">
        <v>697</v>
      </c>
      <c r="I461" s="1" t="s">
        <v>2383</v>
      </c>
      <c r="J461" s="1" t="s">
        <v>2384</v>
      </c>
      <c r="O461" s="1" t="s">
        <v>234</v>
      </c>
      <c r="V461" s="1" t="s">
        <v>2385</v>
      </c>
      <c r="AA461" s="1" t="s">
        <v>119</v>
      </c>
      <c r="AC461" s="1" t="s">
        <v>84</v>
      </c>
      <c r="AF461" s="1" t="s">
        <v>2386</v>
      </c>
      <c r="AM461" s="66" t="str">
        <f t="shared" si="7"/>
        <v/>
      </c>
    </row>
    <row r="462" spans="1:39" ht="16.2" x14ac:dyDescent="0.35">
      <c r="A462" s="1" t="s">
        <v>26</v>
      </c>
      <c r="B462" s="1">
        <v>10</v>
      </c>
      <c r="C462" s="1" t="s">
        <v>2590</v>
      </c>
      <c r="D462" s="1" t="s">
        <v>739</v>
      </c>
      <c r="F462" s="1" t="s">
        <v>399</v>
      </c>
      <c r="H462" s="1" t="s">
        <v>385</v>
      </c>
      <c r="I462" s="1" t="s">
        <v>2387</v>
      </c>
      <c r="J462" s="1" t="s">
        <v>365</v>
      </c>
      <c r="O462" s="1" t="s">
        <v>234</v>
      </c>
      <c r="V462" s="1" t="s">
        <v>2388</v>
      </c>
      <c r="AA462" s="1" t="s">
        <v>119</v>
      </c>
      <c r="AC462" s="1" t="s">
        <v>84</v>
      </c>
      <c r="AF462" s="1" t="s">
        <v>2389</v>
      </c>
      <c r="AM462" s="66" t="str">
        <f t="shared" si="7"/>
        <v/>
      </c>
    </row>
    <row r="463" spans="1:39" ht="16.2" x14ac:dyDescent="0.35">
      <c r="A463" s="1" t="s">
        <v>26</v>
      </c>
      <c r="B463" s="1">
        <v>10</v>
      </c>
      <c r="C463" s="1" t="s">
        <v>2590</v>
      </c>
      <c r="D463" s="1" t="s">
        <v>739</v>
      </c>
      <c r="F463" s="1" t="s">
        <v>2390</v>
      </c>
      <c r="H463" s="1" t="s">
        <v>288</v>
      </c>
      <c r="I463" s="1" t="s">
        <v>2391</v>
      </c>
      <c r="J463" s="1" t="s">
        <v>2392</v>
      </c>
      <c r="O463" s="1" t="s">
        <v>234</v>
      </c>
      <c r="W463" s="1" t="s">
        <v>2393</v>
      </c>
      <c r="AC463" s="1" t="s">
        <v>84</v>
      </c>
      <c r="AF463" s="1" t="s">
        <v>2394</v>
      </c>
      <c r="AM463" s="66" t="str">
        <f t="shared" si="7"/>
        <v/>
      </c>
    </row>
    <row r="464" spans="1:39" ht="16.2" x14ac:dyDescent="0.35">
      <c r="A464" s="1" t="s">
        <v>26</v>
      </c>
      <c r="B464" s="1">
        <v>10</v>
      </c>
      <c r="C464" s="1" t="s">
        <v>2590</v>
      </c>
      <c r="D464" s="1" t="s">
        <v>739</v>
      </c>
      <c r="F464" s="1" t="s">
        <v>2395</v>
      </c>
      <c r="H464" s="1" t="s">
        <v>288</v>
      </c>
      <c r="I464" s="1" t="s">
        <v>2396</v>
      </c>
      <c r="J464" s="1" t="s">
        <v>2397</v>
      </c>
      <c r="O464" s="1" t="s">
        <v>234</v>
      </c>
      <c r="W464" s="1" t="s">
        <v>2388</v>
      </c>
      <c r="AC464" s="1" t="s">
        <v>84</v>
      </c>
      <c r="AF464" s="1" t="s">
        <v>302</v>
      </c>
      <c r="AM464" s="66" t="str">
        <f t="shared" si="7"/>
        <v/>
      </c>
    </row>
    <row r="465" spans="1:39" ht="43.2" x14ac:dyDescent="0.35">
      <c r="A465" s="1" t="s">
        <v>26</v>
      </c>
      <c r="B465" s="1">
        <v>21</v>
      </c>
      <c r="C465" s="1" t="s">
        <v>27</v>
      </c>
      <c r="D465" s="1" t="s">
        <v>739</v>
      </c>
      <c r="F465" s="1" t="s">
        <v>28</v>
      </c>
      <c r="H465" s="1" t="s">
        <v>29</v>
      </c>
      <c r="I465" s="1" t="s">
        <v>30</v>
      </c>
      <c r="J465" s="1" t="s">
        <v>31</v>
      </c>
      <c r="O465" s="1" t="s">
        <v>32</v>
      </c>
      <c r="P465" s="1">
        <v>34</v>
      </c>
      <c r="Q465" s="1" t="s">
        <v>33</v>
      </c>
      <c r="R465" s="1">
        <v>220</v>
      </c>
      <c r="V465" s="1" t="s">
        <v>34</v>
      </c>
      <c r="AE465" s="14" t="s">
        <v>35</v>
      </c>
      <c r="AF465" s="1" t="s">
        <v>36</v>
      </c>
      <c r="AH465" s="1" t="s">
        <v>37</v>
      </c>
      <c r="AI465" s="4">
        <v>44820</v>
      </c>
      <c r="AJ465" s="12" t="s">
        <v>30</v>
      </c>
      <c r="AK465" s="2" t="s">
        <v>38</v>
      </c>
      <c r="AM465" s="66" t="str">
        <f t="shared" si="7"/>
        <v>https://ensinoiptbr.sharepoint.com/:f:/s/ControledeAtivos/EhdLYjASBjtHmvtzRbK5cKgBAB3gxTDyAY_Taf4VEyh1Yg?e=1DwAjS</v>
      </c>
    </row>
    <row r="466" spans="1:39" ht="32.4" x14ac:dyDescent="0.35">
      <c r="A466" s="1" t="s">
        <v>26</v>
      </c>
      <c r="B466" s="1">
        <v>21</v>
      </c>
      <c r="C466" s="1" t="s">
        <v>27</v>
      </c>
      <c r="D466" s="1" t="s">
        <v>739</v>
      </c>
      <c r="F466" s="1" t="s">
        <v>39</v>
      </c>
      <c r="H466" s="1" t="s">
        <v>40</v>
      </c>
      <c r="I466" s="1" t="s">
        <v>41</v>
      </c>
      <c r="J466" s="1" t="s">
        <v>42</v>
      </c>
      <c r="O466" s="1" t="s">
        <v>32</v>
      </c>
      <c r="P466" s="1">
        <v>2.5</v>
      </c>
      <c r="Q466" s="1" t="s">
        <v>43</v>
      </c>
      <c r="R466" s="1">
        <v>220</v>
      </c>
      <c r="AE466" s="14" t="s">
        <v>44</v>
      </c>
      <c r="AF466" s="1" t="s">
        <v>45</v>
      </c>
      <c r="AH466" s="1" t="s">
        <v>46</v>
      </c>
      <c r="AI466" s="4">
        <v>44820</v>
      </c>
      <c r="AJ466" s="12" t="s">
        <v>41</v>
      </c>
      <c r="AK466" s="2" t="s">
        <v>47</v>
      </c>
      <c r="AM466" s="66" t="str">
        <f t="shared" si="7"/>
        <v>https://ensinoiptbr.sharepoint.com/:f:/s/ControledeAtivos/EhaDJM3Xhi9AjC7fbfJgga8BojL2HNDSCp00OKTbVb8-VQ?e=S5icku</v>
      </c>
    </row>
    <row r="467" spans="1:39" ht="43.2" x14ac:dyDescent="0.35">
      <c r="A467" s="1" t="s">
        <v>26</v>
      </c>
      <c r="B467" s="1">
        <v>21</v>
      </c>
      <c r="C467" s="1" t="s">
        <v>27</v>
      </c>
      <c r="D467" s="1" t="s">
        <v>739</v>
      </c>
      <c r="F467" s="1" t="s">
        <v>48</v>
      </c>
      <c r="H467" s="1" t="s">
        <v>40</v>
      </c>
      <c r="I467" s="1" t="s">
        <v>49</v>
      </c>
      <c r="J467" s="1" t="s">
        <v>50</v>
      </c>
      <c r="O467" s="1" t="s">
        <v>32</v>
      </c>
      <c r="P467" s="1">
        <v>0.5</v>
      </c>
      <c r="Q467" s="1" t="s">
        <v>43</v>
      </c>
      <c r="R467" s="1">
        <v>220</v>
      </c>
      <c r="V467" s="1" t="s">
        <v>51</v>
      </c>
      <c r="AE467" s="14" t="s">
        <v>52</v>
      </c>
      <c r="AF467" s="1" t="s">
        <v>53</v>
      </c>
      <c r="AH467" s="1" t="s">
        <v>54</v>
      </c>
      <c r="AI467" s="4">
        <v>44869</v>
      </c>
      <c r="AJ467" s="12" t="s">
        <v>49</v>
      </c>
      <c r="AK467" s="2" t="s">
        <v>47</v>
      </c>
      <c r="AM467" s="66" t="str">
        <f t="shared" si="7"/>
        <v>https://ensinoiptbr.sharepoint.com/:f:/s/ControledeAtivos/EkjlBxQivxxGpaRLE0rNH6gBIOFsXNUSG2EzA76Q7UEY3g?e=QKaDIk</v>
      </c>
    </row>
    <row r="468" spans="1:39" ht="43.2" x14ac:dyDescent="0.35">
      <c r="A468" s="1" t="s">
        <v>26</v>
      </c>
      <c r="B468" s="1">
        <v>21</v>
      </c>
      <c r="C468" s="1" t="s">
        <v>27</v>
      </c>
      <c r="D468" s="1" t="s">
        <v>739</v>
      </c>
      <c r="F468" s="1" t="s">
        <v>55</v>
      </c>
      <c r="H468" s="1" t="s">
        <v>56</v>
      </c>
      <c r="I468" s="1" t="s">
        <v>57</v>
      </c>
      <c r="J468" s="1" t="s">
        <v>58</v>
      </c>
      <c r="O468" s="1" t="s">
        <v>32</v>
      </c>
      <c r="V468" s="1" t="s">
        <v>59</v>
      </c>
      <c r="AE468" s="14" t="s">
        <v>60</v>
      </c>
      <c r="AF468" s="1" t="s">
        <v>61</v>
      </c>
      <c r="AH468" s="1" t="s">
        <v>37</v>
      </c>
      <c r="AI468" s="4">
        <v>44820</v>
      </c>
      <c r="AJ468" s="12" t="s">
        <v>57</v>
      </c>
      <c r="AK468" s="2" t="s">
        <v>47</v>
      </c>
      <c r="AM468" s="66" t="str">
        <f t="shared" si="7"/>
        <v>https://ensinoiptbr.sharepoint.com/:f:/s/ControledeAtivos/EhAbMNTjWqhHvysBd7NkxfYBaq32ILpC4GPPN2uQ9uvQRw?e=dpQb8f</v>
      </c>
    </row>
    <row r="469" spans="1:39" ht="32.4" x14ac:dyDescent="0.35">
      <c r="A469" s="1" t="s">
        <v>26</v>
      </c>
      <c r="B469" s="1">
        <v>21</v>
      </c>
      <c r="C469" s="1" t="s">
        <v>93</v>
      </c>
      <c r="D469" s="1" t="s">
        <v>739</v>
      </c>
      <c r="F469" s="1" t="s">
        <v>94</v>
      </c>
      <c r="H469" s="1" t="s">
        <v>64</v>
      </c>
      <c r="I469" s="1" t="s">
        <v>95</v>
      </c>
      <c r="J469" s="1" t="s">
        <v>96</v>
      </c>
      <c r="O469" s="1" t="s">
        <v>67</v>
      </c>
      <c r="P469" s="1">
        <v>400</v>
      </c>
      <c r="Q469" s="1" t="s">
        <v>97</v>
      </c>
      <c r="R469" s="1">
        <v>110</v>
      </c>
      <c r="S469" s="1">
        <v>110</v>
      </c>
      <c r="T469" s="1" t="s">
        <v>98</v>
      </c>
      <c r="V469" s="1" t="s">
        <v>99</v>
      </c>
      <c r="AA469" s="1" t="s">
        <v>100</v>
      </c>
      <c r="AB469" s="4">
        <v>31413</v>
      </c>
      <c r="AC469" s="1" t="s">
        <v>101</v>
      </c>
      <c r="AD469" s="1" t="s">
        <v>72</v>
      </c>
      <c r="AE469" s="14" t="s">
        <v>102</v>
      </c>
      <c r="AF469" s="1" t="s">
        <v>103</v>
      </c>
      <c r="AH469" s="1" t="s">
        <v>75</v>
      </c>
      <c r="AI469" s="4">
        <v>44834</v>
      </c>
      <c r="AJ469" s="12" t="s">
        <v>104</v>
      </c>
      <c r="AM469" s="66" t="str">
        <f t="shared" si="7"/>
        <v>https://ensinoiptbr.sharepoint.com/:f:/s/ControledeAtivos/EuYN3shu8zNPj4c2ybgot9EBVNivVfvykZgrd4XPNG59yg?e=XWUnRf</v>
      </c>
    </row>
    <row r="470" spans="1:39" ht="32.4" x14ac:dyDescent="0.35">
      <c r="A470" s="1" t="s">
        <v>26</v>
      </c>
      <c r="B470" s="1">
        <v>21</v>
      </c>
      <c r="C470" s="1" t="s">
        <v>259</v>
      </c>
      <c r="D470" s="1" t="s">
        <v>739</v>
      </c>
      <c r="F470" s="1" t="s">
        <v>260</v>
      </c>
      <c r="H470" s="1" t="s">
        <v>261</v>
      </c>
      <c r="I470" s="1" t="s">
        <v>262</v>
      </c>
      <c r="J470" s="1" t="s">
        <v>263</v>
      </c>
      <c r="O470" s="1" t="s">
        <v>109</v>
      </c>
      <c r="V470" s="1" t="s">
        <v>264</v>
      </c>
      <c r="AA470" s="1" t="s">
        <v>100</v>
      </c>
      <c r="AB470" s="4">
        <v>31413</v>
      </c>
      <c r="AC470" s="1" t="s">
        <v>101</v>
      </c>
      <c r="AD470" s="1" t="s">
        <v>72</v>
      </c>
      <c r="AE470" s="14" t="s">
        <v>265</v>
      </c>
      <c r="AF470" s="1" t="s">
        <v>266</v>
      </c>
      <c r="AH470" s="1" t="s">
        <v>75</v>
      </c>
      <c r="AI470" s="4">
        <v>44852</v>
      </c>
      <c r="AJ470" s="12" t="s">
        <v>267</v>
      </c>
      <c r="AM470" s="66" t="str">
        <f t="shared" si="7"/>
        <v>https://ensinoiptbr.sharepoint.com/:f:/s/ControledeAtivos/EjJpPfRncKNDuO6TEVCmbE4Ba0DvRsLWdzzyEi1rr3gc-Q?e=fELYbC</v>
      </c>
    </row>
    <row r="471" spans="1:39" ht="32.4" x14ac:dyDescent="0.35">
      <c r="A471" s="1" t="s">
        <v>26</v>
      </c>
      <c r="B471" s="1">
        <v>21</v>
      </c>
      <c r="C471" s="1" t="s">
        <v>93</v>
      </c>
      <c r="D471" s="1" t="s">
        <v>739</v>
      </c>
      <c r="F471" s="1" t="s">
        <v>501</v>
      </c>
      <c r="H471" s="1" t="s">
        <v>491</v>
      </c>
      <c r="I471" s="1" t="s">
        <v>502</v>
      </c>
      <c r="J471" s="1" t="s">
        <v>214</v>
      </c>
      <c r="O471" s="1" t="s">
        <v>234</v>
      </c>
      <c r="AC471" s="1" t="s">
        <v>84</v>
      </c>
      <c r="AD471" s="1" t="s">
        <v>72</v>
      </c>
      <c r="AE471" s="14" t="s">
        <v>503</v>
      </c>
      <c r="AF471" s="1" t="s">
        <v>489</v>
      </c>
      <c r="AH471" s="1" t="s">
        <v>75</v>
      </c>
      <c r="AI471" s="4">
        <v>44852</v>
      </c>
      <c r="AJ471" s="12" t="s">
        <v>504</v>
      </c>
      <c r="AM471" s="66" t="str">
        <f t="shared" si="7"/>
        <v>https://ensinoiptbr.sharepoint.com/:f:/s/ControledeAtivos/ErT5few_AXpMo174xZIcPwwBVCnRSrDj0n3NMo4eDD3jZA?e=fCmpi0</v>
      </c>
    </row>
    <row r="472" spans="1:39" ht="81" x14ac:dyDescent="0.35">
      <c r="A472" s="1" t="s">
        <v>26</v>
      </c>
      <c r="B472" s="1">
        <v>47</v>
      </c>
      <c r="C472" s="1" t="s">
        <v>832</v>
      </c>
      <c r="D472" s="1" t="s">
        <v>739</v>
      </c>
      <c r="F472" s="1" t="s">
        <v>740</v>
      </c>
      <c r="H472" s="1" t="s">
        <v>741</v>
      </c>
      <c r="I472" s="1" t="s">
        <v>742</v>
      </c>
      <c r="J472" s="1" t="s">
        <v>743</v>
      </c>
      <c r="O472" s="1" t="s">
        <v>234</v>
      </c>
      <c r="P472" s="5">
        <v>2</v>
      </c>
      <c r="Q472" s="5" t="s">
        <v>68</v>
      </c>
      <c r="R472" s="1">
        <v>220</v>
      </c>
      <c r="S472" s="1">
        <v>380</v>
      </c>
      <c r="U472" s="1" t="s">
        <v>176</v>
      </c>
      <c r="V472" s="1" t="s">
        <v>744</v>
      </c>
      <c r="AA472" s="1" t="s">
        <v>119</v>
      </c>
      <c r="AC472" s="1" t="s">
        <v>745</v>
      </c>
      <c r="AE472" s="14">
        <v>5279</v>
      </c>
      <c r="AF472" s="1" t="s">
        <v>746</v>
      </c>
      <c r="AH472" s="1" t="s">
        <v>747</v>
      </c>
      <c r="AI472" s="4">
        <v>44833</v>
      </c>
      <c r="AJ472" s="12" t="s">
        <v>748</v>
      </c>
      <c r="AM472" s="66" t="str">
        <f t="shared" si="7"/>
        <v>https://ensinoiptbr-my.sharepoint.com/personal/ericaugustin_ipt_br/Documents/Documentos/Prototipos/2023/Projeto Controle Ativos/SistemaAtivos2/:f:/s/ControledeAtivos/EvAAJV4xfF1FvznpZHiRojkBWZIpSvlZoUxRHVSxNkK6AA?e=1GHVqm</v>
      </c>
    </row>
    <row r="473" spans="1:39" ht="16.2" x14ac:dyDescent="0.35">
      <c r="P473" s="5"/>
      <c r="Q473" s="5"/>
      <c r="AM473" s="66"/>
    </row>
    <row r="476" spans="1:39" x14ac:dyDescent="0.3">
      <c r="AA476" s="80"/>
    </row>
  </sheetData>
  <autoFilter ref="A1:AK473" xr:uid="{00000000-0001-0000-0000-000000000000}">
    <sortState ref="A2:AK473">
      <sortCondition ref="B1:B473"/>
    </sortState>
  </autoFilter>
  <sortState ref="A1:AK448">
    <sortCondition ref="A2:A448"/>
    <sortCondition ref="B2:B448"/>
    <sortCondition ref="C2:C448"/>
  </sortState>
  <hyperlinks>
    <hyperlink ref="AJ10" r:id="rId1" xr:uid="{00000000-0004-0000-0000-000000000000}"/>
    <hyperlink ref="AJ9" r:id="rId2" xr:uid="{00000000-0004-0000-0000-000001000000}"/>
    <hyperlink ref="AJ8" r:id="rId3" xr:uid="{00000000-0004-0000-0000-000002000000}"/>
    <hyperlink ref="AJ2" r:id="rId4" xr:uid="{00000000-0004-0000-0000-000003000000}"/>
    <hyperlink ref="AJ445" r:id="rId5" xr:uid="{00000000-0004-0000-0000-000004000000}"/>
    <hyperlink ref="AJ5" r:id="rId6" xr:uid="{00000000-0004-0000-0000-000005000000}"/>
    <hyperlink ref="AJ4" r:id="rId7" xr:uid="{00000000-0004-0000-0000-000006000000}"/>
    <hyperlink ref="AJ3" r:id="rId8" xr:uid="{00000000-0004-0000-0000-000007000000}"/>
    <hyperlink ref="AJ444" r:id="rId9" xr:uid="{00000000-0004-0000-0000-000008000000}"/>
    <hyperlink ref="AJ442" r:id="rId10" xr:uid="{00000000-0004-0000-0000-000009000000}"/>
    <hyperlink ref="AJ441" r:id="rId11" xr:uid="{00000000-0004-0000-0000-00000A000000}"/>
    <hyperlink ref="AJ440" r:id="rId12" xr:uid="{00000000-0004-0000-0000-00000B000000}"/>
    <hyperlink ref="AJ439" r:id="rId13" xr:uid="{00000000-0004-0000-0000-00000C000000}"/>
    <hyperlink ref="AJ423" r:id="rId14" xr:uid="{00000000-0004-0000-0000-00000D000000}"/>
    <hyperlink ref="AJ398" r:id="rId15" xr:uid="{00000000-0004-0000-0000-00000E000000}"/>
    <hyperlink ref="AJ397" r:id="rId16" xr:uid="{00000000-0004-0000-0000-00000F000000}"/>
    <hyperlink ref="AJ389" r:id="rId17" xr:uid="{00000000-0004-0000-0000-000010000000}"/>
    <hyperlink ref="AJ374" r:id="rId18" xr:uid="{00000000-0004-0000-0000-000011000000}"/>
    <hyperlink ref="AJ365" r:id="rId19" xr:uid="{00000000-0004-0000-0000-000012000000}"/>
    <hyperlink ref="AJ364" r:id="rId20" xr:uid="{00000000-0004-0000-0000-000013000000}"/>
    <hyperlink ref="AJ354" r:id="rId21" xr:uid="{00000000-0004-0000-0000-000014000000}"/>
    <hyperlink ref="AJ341" r:id="rId22" xr:uid="{00000000-0004-0000-0000-000015000000}"/>
    <hyperlink ref="AJ340" r:id="rId23" xr:uid="{00000000-0004-0000-0000-000016000000}"/>
    <hyperlink ref="AJ339" r:id="rId24" xr:uid="{00000000-0004-0000-0000-000017000000}"/>
    <hyperlink ref="AJ338" r:id="rId25" xr:uid="{00000000-0004-0000-0000-000018000000}"/>
    <hyperlink ref="AJ437" r:id="rId26" xr:uid="{00000000-0004-0000-0000-000019000000}"/>
    <hyperlink ref="AJ435" r:id="rId27" xr:uid="{00000000-0004-0000-0000-00001A000000}"/>
    <hyperlink ref="AJ336" r:id="rId28" xr:uid="{00000000-0004-0000-0000-00001B000000}"/>
    <hyperlink ref="AJ348" r:id="rId29" xr:uid="{00000000-0004-0000-0000-00001C000000}"/>
    <hyperlink ref="AJ335" r:id="rId30" xr:uid="{00000000-0004-0000-0000-00001D000000}"/>
    <hyperlink ref="AJ334" r:id="rId31" xr:uid="{00000000-0004-0000-0000-00001E000000}"/>
    <hyperlink ref="AJ419" r:id="rId32" xr:uid="{00000000-0004-0000-0000-00001F000000}"/>
    <hyperlink ref="AJ417" r:id="rId33" xr:uid="{00000000-0004-0000-0000-000020000000}"/>
    <hyperlink ref="AJ418" r:id="rId34" xr:uid="{00000000-0004-0000-0000-000021000000}"/>
    <hyperlink ref="AJ416" r:id="rId35" xr:uid="{00000000-0004-0000-0000-000022000000}"/>
    <hyperlink ref="AJ415" r:id="rId36" xr:uid="{00000000-0004-0000-0000-000023000000}"/>
    <hyperlink ref="AJ414" r:id="rId37" xr:uid="{00000000-0004-0000-0000-000024000000}"/>
    <hyperlink ref="AJ356" r:id="rId38" xr:uid="{00000000-0004-0000-0000-000025000000}"/>
    <hyperlink ref="AJ392" r:id="rId39" xr:uid="{00000000-0004-0000-0000-000026000000}"/>
    <hyperlink ref="AJ391" r:id="rId40" xr:uid="{00000000-0004-0000-0000-000027000000}"/>
    <hyperlink ref="AJ357" r:id="rId41" xr:uid="{00000000-0004-0000-0000-000028000000}"/>
    <hyperlink ref="AJ373" r:id="rId42" xr:uid="{00000000-0004-0000-0000-000029000000}"/>
    <hyperlink ref="AJ333" r:id="rId43" xr:uid="{00000000-0004-0000-0000-00002A000000}"/>
    <hyperlink ref="AJ434" r:id="rId44" xr:uid="{00000000-0004-0000-0000-00002B000000}"/>
    <hyperlink ref="AJ443" r:id="rId45" xr:uid="{00000000-0004-0000-0000-00002C000000}"/>
    <hyperlink ref="AJ429" r:id="rId46" xr:uid="{00000000-0004-0000-0000-00002D000000}"/>
    <hyperlink ref="AJ428" r:id="rId47" xr:uid="{00000000-0004-0000-0000-00002E000000}"/>
    <hyperlink ref="AJ427" r:id="rId48" xr:uid="{00000000-0004-0000-0000-00002F000000}"/>
    <hyperlink ref="AJ372" r:id="rId49" xr:uid="{00000000-0004-0000-0000-000030000000}"/>
    <hyperlink ref="AJ388" r:id="rId50" xr:uid="{00000000-0004-0000-0000-000031000000}"/>
    <hyperlink ref="AJ387" r:id="rId51" xr:uid="{00000000-0004-0000-0000-000032000000}"/>
    <hyperlink ref="AJ385" r:id="rId52" xr:uid="{00000000-0004-0000-0000-000033000000}"/>
    <hyperlink ref="AJ386" r:id="rId53" xr:uid="{00000000-0004-0000-0000-000034000000}"/>
    <hyperlink ref="AJ384" r:id="rId54" xr:uid="{00000000-0004-0000-0000-000035000000}"/>
    <hyperlink ref="AJ396" r:id="rId55" xr:uid="{00000000-0004-0000-0000-000036000000}"/>
    <hyperlink ref="AJ347" r:id="rId56" xr:uid="{00000000-0004-0000-0000-000037000000}"/>
    <hyperlink ref="AJ394" r:id="rId57" xr:uid="{00000000-0004-0000-0000-000038000000}"/>
    <hyperlink ref="AJ266" r:id="rId58" xr:uid="{00000000-0004-0000-0000-000039000000}"/>
    <hyperlink ref="AJ202" r:id="rId59" xr:uid="{00000000-0004-0000-0000-00003A000000}"/>
    <hyperlink ref="AJ203" r:id="rId60" xr:uid="{00000000-0004-0000-0000-00003B000000}"/>
    <hyperlink ref="AJ472" r:id="rId61" xr:uid="{00000000-0004-0000-0000-00003C000000}"/>
    <hyperlink ref="AJ200" r:id="rId62" xr:uid="{00000000-0004-0000-0000-00003D000000}"/>
    <hyperlink ref="AJ201" r:id="rId63" xr:uid="{00000000-0004-0000-0000-00003E000000}"/>
    <hyperlink ref="AJ241" r:id="rId64" xr:uid="{00000000-0004-0000-0000-00003F000000}"/>
    <hyperlink ref="AJ240" r:id="rId65" xr:uid="{00000000-0004-0000-0000-000040000000}"/>
    <hyperlink ref="AJ344" r:id="rId66" xr:uid="{00000000-0004-0000-0000-000041000000}"/>
    <hyperlink ref="AJ216" r:id="rId67" xr:uid="{00000000-0004-0000-0000-000042000000}"/>
    <hyperlink ref="AJ218" r:id="rId68" xr:uid="{00000000-0004-0000-0000-000043000000}"/>
    <hyperlink ref="AJ217" r:id="rId69" xr:uid="{00000000-0004-0000-0000-000044000000}"/>
    <hyperlink ref="AJ363" r:id="rId70" xr:uid="{395F1CA0-1FE4-4506-80F9-330C9CF37843}"/>
    <hyperlink ref="AJ469" r:id="rId71" xr:uid="{5C042A49-B5EE-4D3B-927B-9B3893DAF182}"/>
    <hyperlink ref="AJ352" r:id="rId72" xr:uid="{C96C83F6-CD1A-46D2-AAA8-CBFB7A7BC512}"/>
    <hyperlink ref="AJ351" r:id="rId73" xr:uid="{0757AE2A-67B2-4BED-9B34-20FD776FD709}"/>
    <hyperlink ref="AJ349" r:id="rId74" xr:uid="{5DF7DF2F-307D-4697-82A2-C868909B41C3}"/>
    <hyperlink ref="AJ345" r:id="rId75" xr:uid="{BADFA7C4-682D-437D-97CF-10114CF4450C}"/>
    <hyperlink ref="AJ346" r:id="rId76" xr:uid="{B3DD9F38-0550-438D-8D62-065631906432}"/>
    <hyperlink ref="AJ371" r:id="rId77" xr:uid="{CE0DBE98-0AEB-4535-8D73-3F66910E4A11}"/>
    <hyperlink ref="AJ350" r:id="rId78" xr:uid="{5C7871DB-E930-4479-9A96-1722614A3BAE}"/>
    <hyperlink ref="AJ343" r:id="rId79" xr:uid="{2878D2FB-49F7-4CA9-B304-7FB83E270BC2}"/>
    <hyperlink ref="AJ433" r:id="rId80" xr:uid="{83CBACDA-8CF3-430C-AFB7-48122834DC86}"/>
    <hyperlink ref="AJ362" r:id="rId81" xr:uid="{87139593-01B3-4C63-A6B7-7E416EB0D198}"/>
    <hyperlink ref="AJ406" r:id="rId82" xr:uid="{59BA6695-FA36-4F76-AEA9-D191ED59BB07}"/>
    <hyperlink ref="AJ432" r:id="rId83" xr:uid="{16B7EF41-22F2-47CD-B35F-AF78C0071E70}"/>
    <hyperlink ref="AJ431" r:id="rId84" xr:uid="{846022AC-2F1B-425B-9B5F-9471CA501A74}"/>
    <hyperlink ref="AJ430" r:id="rId85" xr:uid="{52297919-44B5-4E82-993D-FF9958BCEAF9}"/>
    <hyperlink ref="AJ382" r:id="rId86" xr:uid="{28DD16F0-1A65-4557-B7E8-62E03568D52F}"/>
    <hyperlink ref="AJ408" r:id="rId87" xr:uid="{016EDF95-86EB-4A2F-A447-C709BF90D788}"/>
    <hyperlink ref="AJ405" r:id="rId88" xr:uid="{A7F8E274-0AA0-446A-A184-781A5FA82EDE}"/>
    <hyperlink ref="AJ395" r:id="rId89" xr:uid="{A188F660-C4D2-4423-99C2-5B2FC02871EC}"/>
    <hyperlink ref="AJ402" r:id="rId90" xr:uid="{2241C226-9689-4278-8E09-92D914581C91}"/>
    <hyperlink ref="AJ403" r:id="rId91" xr:uid="{C8324AC5-6245-4E73-9645-14E147C7D7FB}"/>
    <hyperlink ref="AJ370" r:id="rId92" xr:uid="{2B1BB39A-82C7-482A-A34B-55A6399CBF05}"/>
    <hyperlink ref="AJ369" r:id="rId93" xr:uid="{333E89F8-CB5C-4774-9955-91FAAD74FF47}"/>
    <hyperlink ref="AJ368" r:id="rId94" xr:uid="{5047DFC8-FF74-4905-98A5-8DD2E7597693}"/>
    <hyperlink ref="AJ367" r:id="rId95" xr:uid="{F41E374E-FEBC-43F8-B987-FEBDEC52B556}"/>
    <hyperlink ref="AJ390" r:id="rId96" xr:uid="{F990AB2C-521D-4B9F-82B2-5F5DFEEAC7AD}"/>
    <hyperlink ref="AJ355" r:id="rId97" xr:uid="{AE623C8E-A377-40BB-9710-880C433AC50B}"/>
    <hyperlink ref="AJ401" r:id="rId98" xr:uid="{FB4639B8-18CE-498B-84A9-84AE9F6F83E0}"/>
    <hyperlink ref="AJ332" r:id="rId99" xr:uid="{80665F1F-DC09-4354-B032-9665A5FB9478}"/>
    <hyperlink ref="AJ400" r:id="rId100" xr:uid="{FEF5932C-6898-4552-B6B4-A20CB345A82E}"/>
    <hyperlink ref="AJ426" r:id="rId101" xr:uid="{75A7BA79-27A4-4DDE-BC30-E433DBBDEDEF}"/>
    <hyperlink ref="AJ425" r:id="rId102" xr:uid="{F570F80B-8649-4FBE-BB95-A1FA63BBC354}"/>
    <hyperlink ref="AJ424" r:id="rId103" xr:uid="{52F555AD-C14C-40D3-AB24-9CA86F41FD30}"/>
    <hyperlink ref="AJ413" r:id="rId104" xr:uid="{B8120C0E-C002-4224-B4BF-AC71EAA66506}"/>
    <hyperlink ref="AJ121" r:id="rId105" xr:uid="{F043DA18-7042-48D4-9897-817B90CCADFD}"/>
    <hyperlink ref="AJ412" r:id="rId106" xr:uid="{A8666DA2-B89C-45FB-B472-BC2088508912}"/>
    <hyperlink ref="AJ393" r:id="rId107" xr:uid="{A9F5C762-6CDD-4C73-A4F1-E052E39DC77A}"/>
    <hyperlink ref="AJ331" r:id="rId108" xr:uid="{6D7AA821-E415-44E7-994B-DE7E15D854A2}"/>
    <hyperlink ref="AJ112" r:id="rId109" xr:uid="{CF353855-29D4-4E65-9D97-B748BB68C428}"/>
    <hyperlink ref="AJ111" r:id="rId110" xr:uid="{C85A2ED3-3FA4-4C90-93C0-A4D12CA3C6B1}"/>
    <hyperlink ref="AJ109" r:id="rId111" xr:uid="{5D367DBE-9D65-48A7-B994-CBED7BB50066}"/>
    <hyperlink ref="AJ110" r:id="rId112" xr:uid="{F7D8F950-60D9-4F15-937F-D4A160CBF626}"/>
    <hyperlink ref="AJ239" r:id="rId113" xr:uid="{8599720D-00CE-4492-AB6C-043E28507706}"/>
    <hyperlink ref="AJ249" r:id="rId114" xr:uid="{5BE0CE6D-2901-4E35-8517-31435E07FF2A}"/>
    <hyperlink ref="AJ248" r:id="rId115" xr:uid="{C78113FE-3BB7-4691-B6B8-9BFEB7135C2B}"/>
    <hyperlink ref="AJ247" r:id="rId116" xr:uid="{9B7516E5-766F-4533-916C-C19C2BEB5ED0}"/>
    <hyperlink ref="AJ212" r:id="rId117" xr:uid="{366CF660-6EDF-426E-980C-344084160AC5}"/>
    <hyperlink ref="AJ107" r:id="rId118" xr:uid="{C05D5439-EC90-440C-B0FC-94E26901454C}"/>
    <hyperlink ref="AJ238" r:id="rId119" xr:uid="{FDF109A8-08CF-4644-AE5D-81D89BA9291A}"/>
    <hyperlink ref="AJ237" r:id="rId120" xr:uid="{249D1891-8DCD-43CA-A92D-10791C233290}"/>
    <hyperlink ref="AJ211" r:id="rId121" xr:uid="{34F3EF20-266A-4975-96F0-1C270501DF76}"/>
    <hyperlink ref="AJ253" r:id="rId122" xr:uid="{FE703A66-0744-4C1C-8044-6D92C9DC8719}"/>
    <hyperlink ref="AJ199" r:id="rId123" xr:uid="{A899CBCC-6014-4F59-8372-DD8670D43A93}"/>
    <hyperlink ref="AJ123" r:id="rId124" xr:uid="{4C872E36-09B1-46D9-B632-9BD2753EAE00}"/>
    <hyperlink ref="AJ120" r:id="rId125" xr:uid="{39A4CFC4-98BF-4380-BCBB-89AF5E2ED298}"/>
    <hyperlink ref="AJ119" r:id="rId126" xr:uid="{23051CF7-97DC-4A25-A6E3-82129877EE1E}"/>
    <hyperlink ref="AJ118" r:id="rId127" xr:uid="{DFD4A7A6-7691-4993-BECB-4F21875C76FE}"/>
    <hyperlink ref="AJ117" r:id="rId128" xr:uid="{1295338C-ECF1-467A-A288-4156D61C6502}"/>
    <hyperlink ref="AJ116" r:id="rId129" xr:uid="{A96048BB-2428-4797-BB46-A5BC1CA5B27C}"/>
    <hyperlink ref="AJ115" r:id="rId130" xr:uid="{C938AC34-8526-4521-891A-518679535F44}"/>
    <hyperlink ref="AJ114" r:id="rId131" xr:uid="{F6DCC137-3C4A-4E1F-A4F3-C503C4347C13}"/>
    <hyperlink ref="AJ113" r:id="rId132" xr:uid="{67A38D3B-A1EB-4F9C-B84F-7D05C8775036}"/>
    <hyperlink ref="AJ122" r:id="rId133" xr:uid="{37B563A8-3171-4524-9261-072BBEBD590B}"/>
    <hyperlink ref="AJ7" r:id="rId134" xr:uid="{5B02AF50-3F54-49EA-8EBD-F8F0CF3B0B53}"/>
    <hyperlink ref="AJ6" r:id="rId135" xr:uid="{509D2912-535B-4003-965C-7D7EAADECB24}"/>
    <hyperlink ref="AJ108" r:id="rId136" xr:uid="{FB69ACF4-B8F8-436E-B921-61E4BEE061CE}"/>
    <hyperlink ref="AJ375" r:id="rId137" xr:uid="{0346F6B5-0A2F-4733-99A1-5066AEB03280}"/>
    <hyperlink ref="AJ379" r:id="rId138" xr:uid="{FCBAAB33-C37A-4AD3-8823-586785B297D7}"/>
    <hyperlink ref="AJ377" r:id="rId139" xr:uid="{153D6FE6-4918-430D-9281-15D45A24906F}"/>
    <hyperlink ref="AJ376" r:id="rId140" xr:uid="{F4A2FCAD-73C9-4B2C-A728-7C8A6453F15F}"/>
    <hyperlink ref="AJ360" r:id="rId141" xr:uid="{AB95C9A2-9A39-4F2A-9B71-0291F342AA36}"/>
    <hyperlink ref="AJ361" r:id="rId142" xr:uid="{37348C52-5476-410C-9524-FAD8F9D71D35}"/>
    <hyperlink ref="AJ353" r:id="rId143" xr:uid="{4C0E4809-FEFA-4166-8FA5-A132B9482DD3}"/>
    <hyperlink ref="AJ330" r:id="rId144" xr:uid="{CB4E12F4-2BBD-473A-8555-700BB3A21DA8}"/>
    <hyperlink ref="AJ342" r:id="rId145" xr:uid="{73EE654B-72D8-4176-A979-79BA67BAF1E4}"/>
    <hyperlink ref="AJ358" r:id="rId146" xr:uid="{27D8EE48-814C-4097-986E-A42C821A10CB}"/>
    <hyperlink ref="AJ106" r:id="rId147" xr:uid="{CBFBEFF8-89D6-431D-B162-C043C8AB7765}"/>
    <hyperlink ref="AJ262" r:id="rId148" xr:uid="{D4F6482A-55AD-4B71-B177-C8ACBD4DF024}"/>
    <hyperlink ref="AJ261" r:id="rId149" xr:uid="{B40907EE-8681-4C54-8B5A-D2A194973712}"/>
    <hyperlink ref="AJ208" r:id="rId150" xr:uid="{C436CA39-52D3-40E3-A869-921284A8050D}"/>
    <hyperlink ref="AJ210" r:id="rId151" xr:uid="{EB3D5549-A6B9-4420-8681-4A508502A38E}"/>
    <hyperlink ref="AJ244" r:id="rId152" xr:uid="{EF355353-40E8-4FA4-8B70-6484BB944FEB}"/>
    <hyperlink ref="AJ209" r:id="rId153" xr:uid="{00EF41A3-DA71-4C35-AFD6-B2B2F0B4C1B8}"/>
    <hyperlink ref="AJ380" r:id="rId154" xr:uid="{C8868957-56E3-404E-A6C4-C8FFDC31D3D1}"/>
    <hyperlink ref="AJ381" r:id="rId155" xr:uid="{683BEBF6-9023-4B03-9688-57AC662B626C}"/>
    <hyperlink ref="AJ378" r:id="rId156" xr:uid="{7182F6E3-61F8-4471-B497-26196D2F9D54}"/>
    <hyperlink ref="AJ410" r:id="rId157" xr:uid="{8629FA34-CF53-4792-B805-3C11C05CB0B0}"/>
    <hyperlink ref="AJ407" r:id="rId158" xr:uid="{6BBC52DC-0083-48CA-A702-3CD24B0EE7A9}"/>
    <hyperlink ref="AJ411" r:id="rId159" xr:uid="{BD0D5A50-7E09-41A0-8DAA-79ADED8BEEE1}"/>
    <hyperlink ref="AJ409" r:id="rId160" xr:uid="{3828DF56-533E-4AF0-96E5-A6B33C2F0EC8}"/>
    <hyperlink ref="AJ399" r:id="rId161" xr:uid="{9F452530-96EB-45B5-8552-6D57D06D86B1}"/>
    <hyperlink ref="AJ470" r:id="rId162" xr:uid="{D11B1917-DD20-469A-87D4-6FC5B47F215E}"/>
    <hyperlink ref="AJ421" r:id="rId163" xr:uid="{F6801AC7-0DAB-4257-861F-C90302EAD731}"/>
    <hyperlink ref="AJ471" r:id="rId164" xr:uid="{76E50CAA-A3F1-47C1-BBDB-FB6044F355FB}"/>
    <hyperlink ref="AJ436" r:id="rId165" xr:uid="{E8983E32-C842-49FB-BE8D-B67FDD28A22F}"/>
    <hyperlink ref="AJ337" r:id="rId166" xr:uid="{672B9D79-90FB-4B5E-A4AA-ABB90361CBDB}"/>
    <hyperlink ref="AJ404" r:id="rId167" xr:uid="{AFBE977D-BD86-48F9-A1D4-C8005B3B74A9}"/>
    <hyperlink ref="AJ267" r:id="rId168" xr:uid="{23468AA0-1708-4F70-AF8D-E5F4D114DFCC}"/>
    <hyperlink ref="AJ265" r:id="rId169" xr:uid="{22AC3371-5695-45FE-9100-FF230D8E3C0A}"/>
    <hyperlink ref="AJ383" r:id="rId170" xr:uid="{14C544AA-D216-42DB-AD81-A03C39DE8342}"/>
    <hyperlink ref="AJ422" r:id="rId171" xr:uid="{A31E20F3-6D30-4C9D-9687-022AEED3F3C4}"/>
    <hyperlink ref="AJ420" r:id="rId172" xr:uid="{5A89FA01-3B5A-482C-812E-48A47371A05E}"/>
    <hyperlink ref="AJ438" r:id="rId173" xr:uid="{FC97B38A-AD2A-4C5B-809D-5A61A90D0734}"/>
    <hyperlink ref="AJ263" r:id="rId174" xr:uid="{D1323257-32BA-43AA-ACB0-074843242FC2}"/>
    <hyperlink ref="AJ260" r:id="rId175" xr:uid="{462599E4-2A0B-490F-BDAB-D4B6D97E47FE}"/>
    <hyperlink ref="AJ205" r:id="rId176" xr:uid="{CF9FAC9E-8F65-4BE0-9146-2B862C72CB51}"/>
    <hyperlink ref="AJ206" r:id="rId177" xr:uid="{2412B9B6-EACF-4EF9-BA44-814A2AB6570D}"/>
    <hyperlink ref="AJ213" r:id="rId178" xr:uid="{11C40479-3A81-456A-AFAD-CF34AAB1D746}"/>
    <hyperlink ref="AJ224" r:id="rId179" xr:uid="{42A8BF11-ED0C-48A2-9789-9B5B798B8B16}"/>
    <hyperlink ref="AJ225" r:id="rId180" xr:uid="{DB610836-D436-457D-8539-5F868E06EA4B}"/>
    <hyperlink ref="AJ254" r:id="rId181" xr:uid="{13F64466-AA8C-44A8-896E-87775BAC3DCC}"/>
    <hyperlink ref="AJ255" r:id="rId182" xr:uid="{16ED45F0-1726-4B48-94A0-AA29C0AE98EF}"/>
    <hyperlink ref="AJ256" r:id="rId183" xr:uid="{2521EEAD-5E1B-4FA2-98BB-977CE6D825D9}"/>
    <hyperlink ref="AJ257" r:id="rId184" xr:uid="{96198DFB-EC64-4AC0-8297-8ABC76DCCE7F}"/>
    <hyperlink ref="AJ226" r:id="rId185" xr:uid="{CB300DC2-3F1B-49BB-8190-4C9D107C552D}"/>
    <hyperlink ref="AJ227" r:id="rId186" xr:uid="{9CC1EA47-3D88-48CC-B0A9-7EF551C458CE}"/>
    <hyperlink ref="AJ228" r:id="rId187" xr:uid="{82FA1138-6D52-49CA-8A7E-9E308DA8EDB0}"/>
    <hyperlink ref="AJ229" r:id="rId188" xr:uid="{39DFEB3C-059B-4F96-8F86-D89257AEFAE5}"/>
    <hyperlink ref="AJ230" r:id="rId189" xr:uid="{70CB2686-C99B-4EC6-A2C3-16BC015D0364}"/>
    <hyperlink ref="AJ243" r:id="rId190" xr:uid="{328E7B99-8183-4DF9-B3E5-69EDED1DC332}"/>
    <hyperlink ref="AJ207" r:id="rId191" xr:uid="{FD66BB90-3EB9-4F71-BF9C-7D2C80ECCE93}"/>
    <hyperlink ref="AJ231" r:id="rId192" xr:uid="{3AA1689F-F630-42F8-9573-983663746F34}"/>
    <hyperlink ref="AJ232" r:id="rId193" xr:uid="{09DC231B-3AD6-4857-A4B4-92335973F419}"/>
    <hyperlink ref="AJ366" r:id="rId194" xr:uid="{89EDCB78-FC19-479A-A419-0196A60B5FC2}"/>
    <hyperlink ref="AJ220" r:id="rId195" xr:uid="{0F5761BA-91E5-43F5-A97E-1469C8408BC6}"/>
    <hyperlink ref="AJ221" r:id="rId196" xr:uid="{CAA3CA4C-1F16-4B99-9B0C-E250A5D71950}"/>
    <hyperlink ref="AJ259" r:id="rId197" xr:uid="{EE0199D2-4963-45A2-986A-C1D51A76DE81}"/>
    <hyperlink ref="AJ233" r:id="rId198" xr:uid="{E2FD49A8-09B1-42F5-96AE-2452BBDB4B91}"/>
    <hyperlink ref="AJ234" r:id="rId199" xr:uid="{F361CBD4-21D2-47ED-8355-ECFD918C62A6}"/>
    <hyperlink ref="AJ235" r:id="rId200" xr:uid="{E0EEEF49-1395-49FF-92A8-6AEE252DD47E}"/>
    <hyperlink ref="AJ236" r:id="rId201" xr:uid="{19FB0AA6-4856-46EE-B0B1-AAC4FC91A078}"/>
    <hyperlink ref="AJ219" r:id="rId202" xr:uid="{7CD171EC-1F46-4450-9FCB-559D8459C047}"/>
    <hyperlink ref="AJ245" r:id="rId203" xr:uid="{3612E9E3-3BD3-4A8C-8357-F042B06D5EE1}"/>
    <hyperlink ref="AJ246" r:id="rId204" xr:uid="{6BE99D07-D0B1-47B4-B79D-932FF1511461}"/>
    <hyperlink ref="AJ258" r:id="rId205" xr:uid="{6801D6DF-F759-4B92-BD13-084EFB7B43EC}"/>
    <hyperlink ref="AJ359" r:id="rId206" xr:uid="{54A54683-9081-49A7-90FB-0531ED1CDE67}"/>
    <hyperlink ref="AJ467" r:id="rId207" xr:uid="{CB7D9F49-2509-4FEB-BF8C-E2E6AB300A9F}"/>
    <hyperlink ref="AJ466" r:id="rId208" xr:uid="{3697B68F-8BD7-4BD3-AAB8-3308494B0740}"/>
    <hyperlink ref="AJ468" r:id="rId209" xr:uid="{D79376FE-3772-400F-910A-EA2F4D0DD501}"/>
    <hyperlink ref="AJ465" r:id="rId210" xr:uid="{A9C1DDFB-42AF-473E-AD18-A1EA54E4B82F}"/>
    <hyperlink ref="AJ223" r:id="rId211" xr:uid="{E8243644-EA8B-468E-A541-2B4AEA62FDAA}"/>
    <hyperlink ref="AJ252" r:id="rId212" xr:uid="{455FC4E4-5A21-4FB8-9843-85039E96BEF2}"/>
    <hyperlink ref="AJ242" r:id="rId213" xr:uid="{75AFB8DE-B855-4825-8BCE-C4A344CDF312}"/>
    <hyperlink ref="AJ204" r:id="rId214" xr:uid="{4ED24399-FA98-4F40-B540-14ABE3F96A38}"/>
    <hyperlink ref="AJ264" r:id="rId215" xr:uid="{68BFEDEB-FD6E-4680-87F6-14AD80653028}"/>
    <hyperlink ref="AJ251" r:id="rId216" xr:uid="{7AB14766-4259-4AFA-B5DF-D78C30B579F1}"/>
    <hyperlink ref="AJ222" r:id="rId217" xr:uid="{4EFA3925-9A0E-4E44-8AF6-460FAA65AA02}"/>
    <hyperlink ref="AJ214" r:id="rId218" xr:uid="{B516731D-4B3D-40DC-A166-173C7D8FAE1F}"/>
    <hyperlink ref="AJ215" r:id="rId219" xr:uid="{A0B29A56-F137-467C-941F-ECC3C4163A7D}"/>
    <hyperlink ref="AJ250" r:id="rId220" xr:uid="{ACDCC4D9-C717-4D74-89C1-E1DC44731D84}"/>
  </hyperlinks>
  <pageMargins left="0.511811024" right="0.511811024" top="0.78740157499999996" bottom="0.78740157499999996" header="0.31496062000000002" footer="0.31496062000000002"/>
  <pageSetup paperSize="9" orientation="portrait" r:id="rId2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O27"/>
  <sheetViews>
    <sheetView workbookViewId="0">
      <selection activeCell="D2" sqref="D2"/>
    </sheetView>
  </sheetViews>
  <sheetFormatPr defaultRowHeight="14.4" x14ac:dyDescent="0.3"/>
  <cols>
    <col min="2" max="2" width="25.33203125" customWidth="1"/>
    <col min="3" max="3" width="11" customWidth="1"/>
    <col min="4" max="4" width="13" customWidth="1"/>
    <col min="6" max="6" width="15.5546875" customWidth="1"/>
    <col min="7" max="7" width="12.44140625" customWidth="1"/>
    <col min="8" max="8" width="13.6640625" customWidth="1"/>
    <col min="15" max="15" width="22.88671875" customWidth="1"/>
  </cols>
  <sheetData>
    <row r="1" spans="1:15" x14ac:dyDescent="0.3">
      <c r="A1" t="s">
        <v>2398</v>
      </c>
    </row>
    <row r="2" spans="1:15" x14ac:dyDescent="0.3">
      <c r="A2" s="19"/>
      <c r="D2" s="10">
        <f>defs!D1</f>
        <v>471</v>
      </c>
      <c r="F2" t="s">
        <v>2399</v>
      </c>
    </row>
    <row r="3" spans="1:15" ht="51" customHeight="1" x14ac:dyDescent="0.3">
      <c r="A3" s="2" t="s">
        <v>2400</v>
      </c>
      <c r="B3" s="2" t="s">
        <v>2401</v>
      </c>
      <c r="C3" s="2" t="s">
        <v>2402</v>
      </c>
      <c r="D3" s="2" t="s">
        <v>2403</v>
      </c>
      <c r="F3" s="2" t="s">
        <v>5</v>
      </c>
      <c r="G3" s="2" t="s">
        <v>2404</v>
      </c>
      <c r="H3" s="2" t="s">
        <v>2405</v>
      </c>
    </row>
    <row r="4" spans="1:15" x14ac:dyDescent="0.3">
      <c r="A4" s="2">
        <v>0</v>
      </c>
      <c r="B4" s="2" t="str">
        <f>defs!C4</f>
        <v>Inválido</v>
      </c>
      <c r="C4" s="10" cm="1">
        <f t="array" ref="C4">SUMPRODUCT( (input!$I:$I&lt;&gt;"") * (1 - ISNUMBER(input!$AE:$AE)) * (input!$AE:$AE&lt;&gt;"")  )</f>
        <v>286</v>
      </c>
      <c r="D4" s="22">
        <f>C4/D$2</f>
        <v>0.60721868365180465</v>
      </c>
      <c r="F4" s="1" t="s">
        <v>1012</v>
      </c>
      <c r="G4" s="10" t="s">
        <v>2406</v>
      </c>
      <c r="H4" s="10">
        <v>72</v>
      </c>
      <c r="M4" s="14"/>
    </row>
    <row r="5" spans="1:15" x14ac:dyDescent="0.3">
      <c r="A5" s="2">
        <f>A4+1</f>
        <v>1</v>
      </c>
      <c r="B5" s="2" t="str">
        <f>defs!C5</f>
        <v>Desconhecido</v>
      </c>
      <c r="C5" s="10" cm="1">
        <f t="array" ref="C5">SUMPRODUCT( (input!$I:$I&lt;&gt;"") * (input!$AD:$AD="") * ISNUMBER(input!$AE:$AE) )</f>
        <v>69</v>
      </c>
      <c r="D5" s="22">
        <f t="shared" ref="D5:D15" si="0">C5/D$2</f>
        <v>0.1464968152866242</v>
      </c>
      <c r="F5" s="1" t="s">
        <v>1004</v>
      </c>
      <c r="G5" s="10" t="s">
        <v>2406</v>
      </c>
      <c r="H5" s="10">
        <v>70</v>
      </c>
    </row>
    <row r="6" spans="1:15" x14ac:dyDescent="0.3">
      <c r="A6" s="2">
        <f t="shared" ref="A6:A15" si="1">A5+1</f>
        <v>2</v>
      </c>
      <c r="B6" s="2" t="s">
        <v>1213</v>
      </c>
      <c r="C6" s="10" cm="1">
        <f t="array" ref="C6">SUMPRODUCT( (input!$I:$I&lt;&gt;"") * (input!$AD:$AD="") * (input!$AE:$AE="") )</f>
        <v>105</v>
      </c>
      <c r="D6" s="22">
        <f t="shared" si="0"/>
        <v>0.22292993630573249</v>
      </c>
      <c r="F6" s="1" t="s">
        <v>2092</v>
      </c>
      <c r="G6" s="10" t="s">
        <v>191</v>
      </c>
      <c r="H6" s="10">
        <v>628</v>
      </c>
      <c r="O6" s="14"/>
    </row>
    <row r="7" spans="1:15" x14ac:dyDescent="0.3">
      <c r="A7" s="2">
        <f t="shared" si="1"/>
        <v>3</v>
      </c>
      <c r="B7" s="2" t="s">
        <v>754</v>
      </c>
      <c r="C7" s="10" cm="1">
        <f t="array" ref="C7">SUMPRODUCT( (input!$I:$I&lt;&gt;"") * (input!AD:AD=B7) )</f>
        <v>13</v>
      </c>
      <c r="D7" s="22">
        <f t="shared" si="0"/>
        <v>2.7600849256900213E-2</v>
      </c>
      <c r="F7" s="1" t="s">
        <v>2235</v>
      </c>
      <c r="G7" s="10" t="s">
        <v>191</v>
      </c>
      <c r="H7" s="10">
        <v>627</v>
      </c>
    </row>
    <row r="8" spans="1:15" x14ac:dyDescent="0.3">
      <c r="A8" s="2">
        <f t="shared" si="1"/>
        <v>4</v>
      </c>
      <c r="B8" s="2" t="s">
        <v>72</v>
      </c>
      <c r="C8" s="10" cm="1">
        <f t="array" ref="C8">SUMPRODUCT( (input!$I:$I&lt;&gt;"") * (input!AD:AD=B8) )</f>
        <v>89</v>
      </c>
      <c r="D8" s="22">
        <f t="shared" si="0"/>
        <v>0.18895966029723993</v>
      </c>
      <c r="F8" s="10"/>
      <c r="G8" s="10"/>
      <c r="H8" s="10"/>
    </row>
    <row r="9" spans="1:15" x14ac:dyDescent="0.3">
      <c r="A9" s="2">
        <f t="shared" si="1"/>
        <v>5</v>
      </c>
      <c r="B9" s="2" t="s">
        <v>85</v>
      </c>
      <c r="C9" s="10" cm="1">
        <f t="array" ref="C9">SUMPRODUCT( (input!$I:$I&lt;&gt;"") * (input!AD:AD=B9) )</f>
        <v>13</v>
      </c>
      <c r="D9" s="22">
        <f t="shared" si="0"/>
        <v>2.7600849256900213E-2</v>
      </c>
      <c r="F9" s="10"/>
      <c r="G9" s="10"/>
      <c r="H9" s="10"/>
    </row>
    <row r="10" spans="1:15" x14ac:dyDescent="0.3">
      <c r="A10" s="2">
        <f t="shared" si="1"/>
        <v>6</v>
      </c>
      <c r="B10" s="2" t="s">
        <v>191</v>
      </c>
      <c r="C10" s="10" cm="1">
        <f t="array" ref="C10">SUMPRODUCT( (input!$I:$I&lt;&gt;"") * (input!AD:AD=B10) )</f>
        <v>10</v>
      </c>
      <c r="D10" s="22">
        <f t="shared" si="0"/>
        <v>2.1231422505307854E-2</v>
      </c>
      <c r="F10" s="10"/>
      <c r="G10" s="10"/>
      <c r="H10" s="10"/>
    </row>
    <row r="11" spans="1:15" x14ac:dyDescent="0.3">
      <c r="A11" s="2">
        <f t="shared" si="1"/>
        <v>7</v>
      </c>
      <c r="B11" s="2" t="s">
        <v>215</v>
      </c>
      <c r="C11" s="10" cm="1">
        <f t="array" ref="C11">SUMPRODUCT( (input!$I:$I&lt;&gt;"") * (input!AD:AD=B11) )</f>
        <v>8</v>
      </c>
      <c r="D11" s="22">
        <f t="shared" si="0"/>
        <v>1.6985138004246284E-2</v>
      </c>
      <c r="F11" s="10"/>
      <c r="G11" s="10"/>
      <c r="H11" s="10"/>
    </row>
    <row r="12" spans="1:15" x14ac:dyDescent="0.3">
      <c r="A12" s="2">
        <f t="shared" si="1"/>
        <v>8</v>
      </c>
      <c r="B12" s="2" t="s">
        <v>1071</v>
      </c>
      <c r="C12" s="10" cm="1">
        <f t="array" ref="C12">SUMPRODUCT( (input!$I:$I&lt;&gt;"") * (input!AD:AD=B12) )</f>
        <v>1</v>
      </c>
      <c r="D12" s="22">
        <f t="shared" si="0"/>
        <v>2.1231422505307855E-3</v>
      </c>
      <c r="F12" s="10"/>
      <c r="G12" s="10"/>
      <c r="H12" s="10"/>
    </row>
    <row r="13" spans="1:15" x14ac:dyDescent="0.3">
      <c r="A13" s="2">
        <f t="shared" si="1"/>
        <v>9</v>
      </c>
      <c r="B13" s="2" t="s">
        <v>1008</v>
      </c>
      <c r="C13" s="10" cm="1">
        <f t="array" ref="C13">SUMPRODUCT( (input!$I:$I&lt;&gt;"") * (input!AD:AD=B13) )</f>
        <v>2</v>
      </c>
      <c r="D13" s="22">
        <f t="shared" si="0"/>
        <v>4.246284501061571E-3</v>
      </c>
      <c r="F13" s="10"/>
      <c r="G13" s="10"/>
      <c r="H13" s="10"/>
    </row>
    <row r="14" spans="1:15" x14ac:dyDescent="0.3">
      <c r="A14" s="2">
        <f t="shared" si="1"/>
        <v>10</v>
      </c>
      <c r="B14" s="2" t="s">
        <v>2406</v>
      </c>
      <c r="C14" s="10" cm="1">
        <f t="array" ref="C14">SUMPRODUCT( (input!$I:$I&lt;&gt;"") * (input!AD:AD=B14) )</f>
        <v>0</v>
      </c>
      <c r="D14" s="22">
        <f t="shared" si="0"/>
        <v>0</v>
      </c>
      <c r="F14" s="2"/>
      <c r="G14" s="2"/>
      <c r="H14" s="10"/>
    </row>
    <row r="15" spans="1:15" x14ac:dyDescent="0.3">
      <c r="A15" s="2">
        <f t="shared" si="1"/>
        <v>11</v>
      </c>
      <c r="B15" s="2" t="s">
        <v>2407</v>
      </c>
      <c r="C15" s="10" cm="1">
        <f t="array" ref="C15">SUMPRODUCT( (input!$I:$I&lt;&gt;"") * (input!AD:AD=B15) )</f>
        <v>0</v>
      </c>
      <c r="D15" s="22">
        <f t="shared" si="0"/>
        <v>0</v>
      </c>
      <c r="F15" s="2"/>
      <c r="G15" s="2"/>
      <c r="H15" s="10"/>
    </row>
    <row r="16" spans="1:15" x14ac:dyDescent="0.3">
      <c r="B16" s="2"/>
      <c r="C16" s="10"/>
      <c r="D16" s="22"/>
      <c r="F16" s="2"/>
      <c r="G16" s="2"/>
      <c r="H16" s="10"/>
    </row>
    <row r="17" spans="6:8" x14ac:dyDescent="0.3">
      <c r="F17" s="2"/>
      <c r="G17" s="2"/>
      <c r="H17" s="10"/>
    </row>
    <row r="18" spans="6:8" x14ac:dyDescent="0.3">
      <c r="F18" s="2"/>
      <c r="G18" s="2"/>
      <c r="H18" s="10"/>
    </row>
    <row r="19" spans="6:8" x14ac:dyDescent="0.3">
      <c r="F19" s="2"/>
      <c r="G19" s="2"/>
      <c r="H19" s="10"/>
    </row>
    <row r="20" spans="6:8" x14ac:dyDescent="0.3">
      <c r="F20" s="2"/>
      <c r="G20" s="2"/>
      <c r="H20" s="10"/>
    </row>
    <row r="21" spans="6:8" x14ac:dyDescent="0.3">
      <c r="F21" s="2"/>
      <c r="G21" s="2"/>
      <c r="H21" s="10"/>
    </row>
    <row r="22" spans="6:8" x14ac:dyDescent="0.3">
      <c r="F22" s="10"/>
      <c r="G22" s="10"/>
      <c r="H22" s="10"/>
    </row>
    <row r="23" spans="6:8" x14ac:dyDescent="0.3">
      <c r="F23" s="10"/>
      <c r="G23" s="10"/>
      <c r="H23" s="10"/>
    </row>
    <row r="24" spans="6:8" x14ac:dyDescent="0.3">
      <c r="F24" s="10"/>
      <c r="G24" s="10"/>
      <c r="H24" s="10"/>
    </row>
    <row r="25" spans="6:8" x14ac:dyDescent="0.3">
      <c r="F25" s="10"/>
      <c r="G25" s="10"/>
      <c r="H25" s="10"/>
    </row>
    <row r="26" spans="6:8" x14ac:dyDescent="0.3">
      <c r="F26" s="10"/>
      <c r="G26" s="10"/>
      <c r="H26" s="10"/>
    </row>
    <row r="27" spans="6:8" x14ac:dyDescent="0.3">
      <c r="F27" s="10"/>
      <c r="G27" s="10"/>
      <c r="H27" s="10"/>
    </row>
  </sheetData>
  <dataValidations count="2">
    <dataValidation allowBlank="1" showInputMessage="1" showErrorMessage="1" sqref="F4:F7 G1:G3 G221:G1048576" xr:uid="{00000000-0002-0000-0100-000000000000}"/>
    <dataValidation type="list" allowBlank="1" showInputMessage="1" showErrorMessage="1" sqref="G4:G220" xr:uid="{00000000-0002-0000-0100-000001000000}">
      <formula1>$B$6:$B$20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T203"/>
  <sheetViews>
    <sheetView topLeftCell="AK1" zoomScale="70" zoomScaleNormal="70" workbookViewId="0">
      <selection activeCell="AP34" sqref="AP34"/>
    </sheetView>
  </sheetViews>
  <sheetFormatPr defaultRowHeight="14.4" x14ac:dyDescent="0.3"/>
  <cols>
    <col min="1" max="1" width="5" style="10" bestFit="1" customWidth="1"/>
    <col min="2" max="2" width="35.5546875" bestFit="1" customWidth="1"/>
    <col min="3" max="3" width="6" bestFit="1" customWidth="1"/>
    <col min="4" max="4" width="11.44140625" style="23" bestFit="1" customWidth="1"/>
    <col min="6" max="6" width="11.6640625" bestFit="1" customWidth="1"/>
    <col min="7" max="7" width="10.6640625" bestFit="1" customWidth="1"/>
    <col min="8" max="8" width="68.5546875" style="28" bestFit="1" customWidth="1"/>
    <col min="9" max="9" width="17.44140625" bestFit="1" customWidth="1"/>
    <col min="10" max="11" width="12.88671875" style="28" bestFit="1" customWidth="1"/>
    <col min="12" max="13" width="9.6640625" style="28" bestFit="1" customWidth="1"/>
    <col min="14" max="15" width="9.6640625" bestFit="1" customWidth="1"/>
    <col min="16" max="16" width="8.88671875" bestFit="1" customWidth="1"/>
    <col min="17" max="17" width="8.6640625" bestFit="1" customWidth="1"/>
    <col min="18" max="18" width="10.33203125" bestFit="1" customWidth="1"/>
    <col min="19" max="19" width="28.88671875" bestFit="1" customWidth="1"/>
    <col min="20" max="20" width="7.44140625" bestFit="1" customWidth="1"/>
    <col min="21" max="22" width="9.6640625" bestFit="1" customWidth="1"/>
    <col min="23" max="23" width="17.88671875" bestFit="1" customWidth="1"/>
    <col min="24" max="24" width="9.6640625" bestFit="1" customWidth="1"/>
    <col min="25" max="25" width="11" bestFit="1" customWidth="1"/>
    <col min="26" max="26" width="16.44140625" bestFit="1" customWidth="1"/>
    <col min="27" max="28" width="9.6640625" bestFit="1" customWidth="1"/>
    <col min="29" max="29" width="15.33203125" bestFit="1" customWidth="1"/>
    <col min="30" max="30" width="9.6640625" bestFit="1" customWidth="1"/>
    <col min="31" max="31" width="13.109375" bestFit="1" customWidth="1"/>
    <col min="32" max="32" width="23" bestFit="1" customWidth="1"/>
    <col min="33" max="40" width="9.6640625" bestFit="1" customWidth="1"/>
    <col min="41" max="41" width="18.88671875" bestFit="1" customWidth="1"/>
    <col min="42" max="42" width="11.109375" bestFit="1" customWidth="1"/>
    <col min="43" max="46" width="9.6640625" bestFit="1" customWidth="1"/>
  </cols>
  <sheetData>
    <row r="1" spans="1:46" x14ac:dyDescent="0.3">
      <c r="A1" s="88" t="s">
        <v>2408</v>
      </c>
      <c r="B1" s="88"/>
      <c r="C1" s="88"/>
      <c r="D1" s="25">
        <v>200</v>
      </c>
      <c r="F1" s="24">
        <f ca="1">MAX(OFFSET(F2, 1, 0, $D$1, 1))</f>
        <v>26</v>
      </c>
      <c r="G1" s="24">
        <f ca="1">MAX(OFFSET(G2, 1, 0, $D$1, 1))</f>
        <v>2</v>
      </c>
      <c r="H1" s="28">
        <f>_xlfn.CEILING.MATH(LOG10($D$1) )</f>
        <v>3</v>
      </c>
      <c r="I1" s="28">
        <f>H1</f>
        <v>3</v>
      </c>
      <c r="W1" t="s">
        <v>2409</v>
      </c>
      <c r="X1" s="24" t="e" cm="1">
        <f t="array" aca="1" ref="X1" ca="1">SUMPRODUCT( (OFFSET(W2, 1, 0, $D$1, 1)&lt;&gt;"")*1 )</f>
        <v>#NAME?</v>
      </c>
      <c r="Z1" s="32"/>
    </row>
    <row r="2" spans="1:46" x14ac:dyDescent="0.3">
      <c r="A2" s="26" t="s">
        <v>2410</v>
      </c>
      <c r="B2" s="26" t="s">
        <v>2411</v>
      </c>
      <c r="C2" s="26" t="s">
        <v>2412</v>
      </c>
      <c r="D2" s="26" t="s">
        <v>2413</v>
      </c>
      <c r="F2" s="24" t="s">
        <v>2414</v>
      </c>
      <c r="G2" s="24" t="s">
        <v>2415</v>
      </c>
      <c r="H2" s="30" t="s">
        <v>2416</v>
      </c>
      <c r="I2" s="30" t="s">
        <v>2417</v>
      </c>
      <c r="J2" s="30" t="s">
        <v>2418</v>
      </c>
      <c r="K2" s="30" t="s">
        <v>2419</v>
      </c>
      <c r="L2" s="30" t="s">
        <v>2420</v>
      </c>
      <c r="M2" s="30" t="s">
        <v>2421</v>
      </c>
      <c r="N2" s="24" t="s">
        <v>2422</v>
      </c>
      <c r="O2" s="24" t="s">
        <v>2423</v>
      </c>
      <c r="P2" s="24" t="s">
        <v>2424</v>
      </c>
      <c r="Q2" s="24" t="s">
        <v>2425</v>
      </c>
      <c r="R2" s="24" t="s">
        <v>2426</v>
      </c>
      <c r="S2" s="89" t="s">
        <v>2427</v>
      </c>
      <c r="T2" s="89"/>
      <c r="U2" s="89" t="s">
        <v>2428</v>
      </c>
      <c r="V2" s="89"/>
      <c r="W2" s="90" t="s">
        <v>2429</v>
      </c>
      <c r="X2" s="90"/>
      <c r="Y2" s="33" t="s">
        <v>2430</v>
      </c>
      <c r="Z2" s="24" t="s">
        <v>2431</v>
      </c>
      <c r="AA2" s="89" t="s">
        <v>2432</v>
      </c>
      <c r="AB2" s="89"/>
      <c r="AC2" s="33" t="s">
        <v>2433</v>
      </c>
      <c r="AD2" s="33" t="s">
        <v>2434</v>
      </c>
      <c r="AE2" s="33" t="s">
        <v>2435</v>
      </c>
      <c r="AF2" s="24" t="s">
        <v>2436</v>
      </c>
      <c r="AG2" s="89" t="s">
        <v>2437</v>
      </c>
      <c r="AH2" s="89"/>
      <c r="AI2" s="89" t="s">
        <v>2438</v>
      </c>
      <c r="AJ2" s="89"/>
      <c r="AK2" s="89" t="s">
        <v>2439</v>
      </c>
      <c r="AL2" s="89"/>
      <c r="AM2" s="89" t="s">
        <v>2440</v>
      </c>
      <c r="AN2" s="89"/>
      <c r="AO2" s="24" t="s">
        <v>2441</v>
      </c>
      <c r="AP2" s="24" t="s">
        <v>2442</v>
      </c>
      <c r="AQ2" s="24" t="s">
        <v>2443</v>
      </c>
      <c r="AR2" s="24" t="s">
        <v>2444</v>
      </c>
      <c r="AS2" s="89" t="s">
        <v>2445</v>
      </c>
      <c r="AT2" s="89"/>
    </row>
    <row r="3" spans="1:46" x14ac:dyDescent="0.3">
      <c r="A3" s="26" cm="1">
        <f t="array" aca="1" ref="A3:A202" ca="1">ROW(OFFSET($A$2, 1, 0, $D$1, 1)) - ROW($A$2)</f>
        <v>1</v>
      </c>
      <c r="B3" s="27" t="s">
        <v>1546</v>
      </c>
      <c r="C3" s="27" t="s">
        <v>2446</v>
      </c>
      <c r="D3" s="31" t="str" cm="1">
        <f t="array" aca="1" ref="D3:D202" ca="1">IF(OFFSET(R2, 1, 0, $D$1, 1)&gt;0, _xlfn.BASE(OFFSET(R2, 1, 0, $D$1, 1), 2, 4), "")</f>
        <v/>
      </c>
      <c r="F3" cm="1">
        <f t="array" aca="1" ref="F3:F202" ca="1">LEN(OFFSET(B2, 1, 0, $D$1, 1))</f>
        <v>6</v>
      </c>
      <c r="G3" cm="1">
        <f t="array" aca="1" ref="G3:G202" ca="1">LEN(OFFSET(C2, 1, 0, $D$1, 1))</f>
        <v>2</v>
      </c>
      <c r="H3" s="28" t="str" cm="1">
        <f t="array" aca="1" ref="H3:H202" ca="1">IF(OFFSET(F$2, 1, 0, $D$1, 1) = 0, REPT("Z", 5), "") &amp; OFFSET(B$2, 1, 0, $D$1, 1) &amp; REPT("@", F$1 - OFFSET(F$2, 1, 0, $D$1, 1) + 1) &amp; TEXT(OFFSET($A2, 1, 0, $D$1, 1), REPT("0", H$1 ))</f>
        <v>dureza@@@@@@@@@@@@@@@@@@@@@001</v>
      </c>
      <c r="I3" s="28" t="str" cm="1">
        <f t="array" aca="1" ref="I3:I202" ca="1">IF(OFFSET(G$2, 1, 0, $D$1, 1) = 0, REPT("Z", 5), "") &amp; OFFSET(C$2, 1, 0, $D$1, 1) &amp; REPT("@", G$1 - OFFSET(G$2, 1, 0, $D$1, 1) + 1) &amp; TEXT(OFFSET($A2, 1, 0, $D$1, 1), REPT("0", I$1 ))</f>
        <v>DR@001</v>
      </c>
      <c r="J3" s="28" t="e" cm="1">
        <f t="array" aca="1" ref="J3:J202" ca="1">_xlfn._xlws.SORT(OFFSET(H$2, 1, 0, $D$1, 1))</f>
        <v>#NAME?</v>
      </c>
      <c r="K3" s="28" t="e" cm="1">
        <f t="array" aca="1" ref="K3:K202" ca="1">_xlfn._xlws.SORT(OFFSET(I$2, 1, 0, $D$1, 1))</f>
        <v>#NAME?</v>
      </c>
      <c r="L3" s="28" t="e" cm="1">
        <f t="array" aca="1" ref="L3:L202" ca="1">LEFT(OFFSET(J2, 1, 0, $D$1, 1), F$1)</f>
        <v>#NAME?</v>
      </c>
      <c r="M3" s="28" t="e" cm="1">
        <f t="array" aca="1" ref="M3:M202" ca="1">LEFT(OFFSET(K2, 1, 0, $D$1, 1), G$1 + 1)</f>
        <v>#NAME?</v>
      </c>
      <c r="P3" t="str" cm="1">
        <f t="array" ref="P3:P202" ca="1">IF(ISNUMBER(MATCH(OFFSET($A2, 1, 0, $D$1, 1), OFFSET(N2, 1, 0, $D$1, 1), 0)), 1, "")</f>
        <v/>
      </c>
      <c r="Q3" t="str" cm="1">
        <f t="array" ref="Q3:Q202" ca="1">IF(ISNUMBER(MATCH(OFFSET($A2, 1, 0, $D$1, 1), OFFSET(O2, 1, 0, $D$1, 1), 0)), 1, "")</f>
        <v/>
      </c>
      <c r="R3" s="21" cm="1">
        <f t="array" aca="1" ref="R3:R202" ca="1">IF(OFFSET(F2, 1, 0, $D$1, 1) = 0, 8, 0) + IF(OFFSET(G2, 1, 0, $D$1, 1) = 0, 4, 0) + IF(OFFSET(P2, 1, 0, $D$1, 1) = 1, 2, 0) + IF(OFFSET(Q2, 1, 0, $D$1, 1) = 1, 1, 0)</f>
        <v>0</v>
      </c>
      <c r="S3" t="str" cm="1">
        <f t="array" aca="1" ref="S3:T202" ca="1">IF(OFFSET(R2, 1, 0, $D$1, 1) = 0, OFFSET(B2, 1, 0, $D$1, 2), REPT("Z", 5))</f>
        <v>dureza</v>
      </c>
      <c r="T3" t="str">
        <f ca="1"/>
        <v>DR</v>
      </c>
      <c r="U3" t="e" cm="1">
        <f t="array" aca="1" ref="U3:V202" ca="1">_xlfn._xlws.SORT(OFFSET(S2, 1, 0, $D$1, 2))</f>
        <v>#NAME?</v>
      </c>
      <c r="V3" t="e">
        <f ca="1"/>
        <v>#NAME?</v>
      </c>
      <c r="W3" t="e" cm="1">
        <f t="array" aca="1" ref="W3:X202" ca="1">IF(OFFSET(U2, 1, 0, $D$1, 1) = REPT("Z", 5), "", OFFSET(U2, 1, 0, $D$1, 2))</f>
        <v>#NAME?</v>
      </c>
      <c r="X3" t="e">
        <f ca="1"/>
        <v>#NAME?</v>
      </c>
      <c r="Y3" t="e" cm="1">
        <f t="array" aca="1" ref="Y3" ca="1">IF(W3&lt;&gt;"", SUMPRODUCT( (input!H:H=tipos_eqs!W3)*1 ), "")</f>
        <v>#NAME?</v>
      </c>
      <c r="Z3" t="e" cm="1">
        <f t="array" aca="1" ref="Z3:Z202" ca="1">IF(OFFSET(X2, 1, 0, $D$1, 1)&lt;&gt;"", ROW(OFFSET($X$2, 1, 0, $D$1, 1)) - ROW($X$2), "")</f>
        <v>#NAME?</v>
      </c>
      <c r="AA3" t="e" cm="1">
        <f t="array" aca="1" ref="AA3:AB78" ca="1">-_xlfn._xlws.SORT(-OFFSET(Y2, 1, 0, X1, 2))</f>
        <v>#NAME?</v>
      </c>
      <c r="AB3" t="e">
        <f ca="1"/>
        <v>#NAME?</v>
      </c>
      <c r="AC3" t="e">
        <f ca="1">IF(AA3&gt;0, OFFSET(X$2, AB3, 0), "")</f>
        <v>#NAME?</v>
      </c>
      <c r="AD3" t="e">
        <f ca="1">AC3</f>
        <v>#NAME?</v>
      </c>
      <c r="AE3" t="e">
        <f ca="1">IF(ISNUMBER(FIND(AD3,AD4)), "ZZZZZ@@", AD3)</f>
        <v>#NAME?</v>
      </c>
      <c r="AF3" t="e" cm="1">
        <f t="array" aca="1" ref="AF3:AF78" ca="1">IF(OFFSET(AE$2, 1, 0, $X$1, 1)&lt;&gt;"", OFFSET(AA$2, 1, 0, $X$1, 1), "")</f>
        <v>#NAME?</v>
      </c>
      <c r="AG3" t="e" cm="1">
        <f t="array" aca="1" ref="AG3:AH78" ca="1">_xlfn._xlws.SORT(OFFSET(AE2, 1, 0, X1, 2))</f>
        <v>#NAME?</v>
      </c>
      <c r="AH3" t="e">
        <f ca="1"/>
        <v>#NAME?</v>
      </c>
      <c r="AI3" t="e" cm="1">
        <f t="array" aca="1" ref="AI3:AJ78" ca="1">IF(OFFSET(AG2, 1, 0, X1, 1) = "ZZZZZ@@", "", OFFSET(AG2, 1, 0, X1, 2))</f>
        <v>#NAME?</v>
      </c>
      <c r="AJ3" t="e">
        <f ca="1"/>
        <v>#NAME?</v>
      </c>
      <c r="AK3" t="e" cm="1">
        <f t="array" aca="1" ref="AK3:AK78" ca="1">IF(OFFSET(AJ2, 1, 0, X1, 1)&lt;&gt;"", -OFFSET(AJ2, 1, 0, X1, 1), "")</f>
        <v>#NAME?</v>
      </c>
      <c r="AL3" t="e" cm="1">
        <f t="array" aca="1" ref="AL3:AL78" ca="1">OFFSET(AI2, 1, 0, X1, 1)</f>
        <v>#NAME?</v>
      </c>
      <c r="AM3" t="e" cm="1">
        <f t="array" aca="1" ref="AM3:AN78" ca="1">_xlfn._xlws.SORT(OFFSET(AK2, 1, 0, X1, 2))</f>
        <v>#NAME?</v>
      </c>
      <c r="AN3" t="e">
        <f ca="1"/>
        <v>#NAME?</v>
      </c>
      <c r="AO3" t="e" cm="1">
        <f t="array" aca="1" ref="AO3:AO78" ca="1">IF(OFFSET(AM2, 1, 0, X1, 1)&lt;&gt;"", -OFFSET(AM2, 1, 0, X1, 1), "")</f>
        <v>#NAME?</v>
      </c>
      <c r="AP3" t="e" cm="1">
        <f t="array" aca="1" ref="AP3:AP78" ca="1">IF(OFFSET(AN2, 1, 0, X1, 1)&lt;&gt;"", (LEN(OFFSET(AN2, 1, 0, X1, 1)) - 2)/4 + 1, "")</f>
        <v>#NAME?</v>
      </c>
      <c r="AQ3" t="e" cm="1">
        <f t="array" aca="1" ref="AQ3:AQ78" ca="1">OFFSET(AN2, 1, 0, X1, 1)</f>
        <v>#NAME?</v>
      </c>
      <c r="AR3" t="e" cm="1">
        <f t="array" aca="1" ref="AR3:AR78" ca="1">IF(OFFSET(AO2, 1, 0, X1, 1)&lt;&gt;"", OFFSET(AO2, 1, 0, X1, 1)*OFFSET(AP2, 1, 0, X1, 1), "" )</f>
        <v>#NAME?</v>
      </c>
      <c r="AS3" t="e" cm="1">
        <f t="array" aca="1" ref="AS3:AS78" ca="1">LEFT(OFFSET(AN2, 1, 0, X1, 1), 2)</f>
        <v>#NAME?</v>
      </c>
      <c r="AT3" t="e" cm="1">
        <f t="array" aca="1" ref="AT3:AT78" ca="1">OFFSET(AO2, 1, 0, X1, 1)</f>
        <v>#NAME?</v>
      </c>
    </row>
    <row r="4" spans="1:46" x14ac:dyDescent="0.3">
      <c r="A4" s="26">
        <f ca="1"/>
        <v>2</v>
      </c>
      <c r="B4" s="28" t="s">
        <v>724</v>
      </c>
      <c r="C4" s="28" t="s">
        <v>2447</v>
      </c>
      <c r="D4" s="31" t="str">
        <f ca="1"/>
        <v/>
      </c>
      <c r="F4">
        <f ca="1"/>
        <v>8</v>
      </c>
      <c r="G4">
        <f ca="1"/>
        <v>2</v>
      </c>
      <c r="H4" s="28" t="str">
        <f ca="1"/>
        <v>Agitador@@@@@@@@@@@@@@@@@@@002</v>
      </c>
      <c r="I4" s="28" t="str">
        <f ca="1"/>
        <v>AG@002</v>
      </c>
      <c r="J4" s="28" t="e">
        <f ca="1"/>
        <v>#NAME?</v>
      </c>
      <c r="K4" s="28" t="e">
        <f ca="1"/>
        <v>#NAME?</v>
      </c>
      <c r="L4" s="28" t="e">
        <f ca="1"/>
        <v>#NAME?</v>
      </c>
      <c r="M4" s="28" t="e">
        <f ca="1"/>
        <v>#NAME?</v>
      </c>
      <c r="N4" t="e" cm="1">
        <f t="array" aca="1" ref="N4:N203" ca="1">IF(OFFSET(L2, 2, 0, $D$1, 1) = OFFSET(L2, 1, 0, $D$1, 1), VALUE(RIGHT(OFFSET(J2, 2, 0, $D$1, 1), H1)), "")</f>
        <v>#NAME?</v>
      </c>
      <c r="O4" t="e" cm="1">
        <f t="array" aca="1" ref="O4:O203" ca="1">IF(OFFSET(M2, 2, 0, $D$1, 1) = OFFSET(M2, 1, 0, $D$1, 1), VALUE(RIGHT(OFFSET(K2, 2, 0, $D$1, 1), I1)), "")</f>
        <v>#NAME?</v>
      </c>
      <c r="P4" t="str">
        <f ca="1"/>
        <v/>
      </c>
      <c r="Q4" t="str">
        <f ca="1"/>
        <v/>
      </c>
      <c r="R4">
        <f ca="1"/>
        <v>0</v>
      </c>
      <c r="S4" t="str">
        <f ca="1"/>
        <v>Agitador</v>
      </c>
      <c r="T4" t="str">
        <f ca="1"/>
        <v>AG</v>
      </c>
      <c r="U4" t="e">
        <f ca="1"/>
        <v>#NAME?</v>
      </c>
      <c r="V4" t="e">
        <f ca="1"/>
        <v>#NAME?</v>
      </c>
      <c r="W4" t="e">
        <f ca="1"/>
        <v>#NAME?</v>
      </c>
      <c r="X4" t="e">
        <f ca="1"/>
        <v>#NAME?</v>
      </c>
      <c r="Y4" t="e" cm="1">
        <f t="array" aca="1" ref="Y4" ca="1">IF(W4&lt;&gt;"", SUMPRODUCT( (input!H:H=tipos_eqs!W4)*1 ), "")</f>
        <v>#NAME?</v>
      </c>
      <c r="Z4" t="e">
        <f ca="1"/>
        <v>#NAME?</v>
      </c>
      <c r="AA4" t="e">
        <f ca="1"/>
        <v>#NAME?</v>
      </c>
      <c r="AB4" t="e">
        <f ca="1"/>
        <v>#NAME?</v>
      </c>
      <c r="AC4" t="e">
        <f ca="1">IF(AA4&gt;0, OFFSET(X$2, AB4, 0), "")</f>
        <v>#NAME?</v>
      </c>
      <c r="AD4" t="e">
        <f t="shared" ref="AD4:AD35" ca="1" si="0">IF(AA4=AA3, AD3 &amp; ", ", "") &amp; AC4</f>
        <v>#NAME?</v>
      </c>
      <c r="AE4" t="e">
        <f t="shared" ref="AE4:AE67" ca="1" si="1">IF(ISNUMBER(FIND(AD4,AD5)), "ZZZZZ@@", AD4)</f>
        <v>#NAME?</v>
      </c>
      <c r="AF4" t="e">
        <f ca="1"/>
        <v>#NAME?</v>
      </c>
      <c r="AG4" t="e">
        <f ca="1"/>
        <v>#NAME?</v>
      </c>
      <c r="AH4" t="e">
        <f ca="1"/>
        <v>#NAME?</v>
      </c>
      <c r="AI4" t="e">
        <f ca="1"/>
        <v>#NAME?</v>
      </c>
      <c r="AJ4" t="e">
        <f ca="1"/>
        <v>#NAME?</v>
      </c>
      <c r="AK4" t="e">
        <f ca="1"/>
        <v>#NAME?</v>
      </c>
      <c r="AL4" t="e">
        <f ca="1"/>
        <v>#NAME?</v>
      </c>
      <c r="AM4" t="e">
        <f ca="1"/>
        <v>#NAME?</v>
      </c>
      <c r="AN4" t="e">
        <f ca="1"/>
        <v>#NAME?</v>
      </c>
      <c r="AO4" t="e">
        <f ca="1"/>
        <v>#NAME?</v>
      </c>
      <c r="AP4" t="e">
        <f ca="1"/>
        <v>#NAME?</v>
      </c>
      <c r="AQ4" t="e">
        <f ca="1"/>
        <v>#NAME?</v>
      </c>
      <c r="AR4" t="e">
        <f ca="1"/>
        <v>#NAME?</v>
      </c>
      <c r="AS4" t="e">
        <f ca="1"/>
        <v>#NAME?</v>
      </c>
      <c r="AT4" t="e">
        <f ca="1"/>
        <v>#NAME?</v>
      </c>
    </row>
    <row r="5" spans="1:46" x14ac:dyDescent="0.3">
      <c r="A5" s="26">
        <f ca="1"/>
        <v>3</v>
      </c>
      <c r="B5" s="28" t="s">
        <v>718</v>
      </c>
      <c r="C5" s="28" t="s">
        <v>2448</v>
      </c>
      <c r="D5" s="31" t="str">
        <f ca="1"/>
        <v/>
      </c>
      <c r="F5">
        <f ca="1"/>
        <v>21</v>
      </c>
      <c r="G5">
        <f ca="1"/>
        <v>2</v>
      </c>
      <c r="H5" s="28" t="str">
        <f ca="1"/>
        <v>Analisador Particulas@@@@@@003</v>
      </c>
      <c r="I5" s="28" t="str">
        <f ca="1"/>
        <v>AP@003</v>
      </c>
      <c r="J5" s="28" t="e">
        <f ca="1"/>
        <v>#NAME?</v>
      </c>
      <c r="K5" s="28" t="e">
        <f ca="1"/>
        <v>#NAME?</v>
      </c>
      <c r="L5" s="28" t="e">
        <f ca="1"/>
        <v>#NAME?</v>
      </c>
      <c r="M5" s="28" t="e">
        <f ca="1"/>
        <v>#NAME?</v>
      </c>
      <c r="N5" t="e">
        <f ca="1"/>
        <v>#NAME?</v>
      </c>
      <c r="O5" t="e">
        <f ca="1"/>
        <v>#NAME?</v>
      </c>
      <c r="P5" t="str">
        <f ca="1"/>
        <v/>
      </c>
      <c r="Q5" t="str">
        <f ca="1"/>
        <v/>
      </c>
      <c r="R5">
        <f ca="1"/>
        <v>0</v>
      </c>
      <c r="S5" t="str">
        <f ca="1"/>
        <v>Analisador Particulas</v>
      </c>
      <c r="T5" t="str">
        <f ca="1"/>
        <v>AP</v>
      </c>
      <c r="U5" t="e">
        <f ca="1"/>
        <v>#NAME?</v>
      </c>
      <c r="V5" t="e">
        <f ca="1"/>
        <v>#NAME?</v>
      </c>
      <c r="W5" t="e">
        <f ca="1"/>
        <v>#NAME?</v>
      </c>
      <c r="X5" t="e">
        <f ca="1"/>
        <v>#NAME?</v>
      </c>
      <c r="Y5" t="e" cm="1">
        <f t="array" aca="1" ref="Y5" ca="1">IF(W5&lt;&gt;"", SUMPRODUCT( (input!H:H=tipos_eqs!W5)*1 ), "")</f>
        <v>#NAME?</v>
      </c>
      <c r="Z5" t="e">
        <f ca="1"/>
        <v>#NAME?</v>
      </c>
      <c r="AA5" t="e">
        <f ca="1"/>
        <v>#NAME?</v>
      </c>
      <c r="AB5" t="e">
        <f ca="1"/>
        <v>#NAME?</v>
      </c>
      <c r="AC5" t="e">
        <f t="shared" ref="AC5:AC68" ca="1" si="2">IF(AA5&gt;0, OFFSET(X$2, AB5, 0), "")</f>
        <v>#NAME?</v>
      </c>
      <c r="AD5" t="e">
        <f t="shared" ca="1" si="0"/>
        <v>#NAME?</v>
      </c>
      <c r="AE5" t="e">
        <f t="shared" ca="1" si="1"/>
        <v>#NAME?</v>
      </c>
      <c r="AF5" t="e">
        <f ca="1"/>
        <v>#NAME?</v>
      </c>
      <c r="AG5" t="e">
        <f ca="1"/>
        <v>#NAME?</v>
      </c>
      <c r="AH5" t="e">
        <f ca="1"/>
        <v>#NAME?</v>
      </c>
      <c r="AI5" t="e">
        <f ca="1"/>
        <v>#NAME?</v>
      </c>
      <c r="AJ5" t="e">
        <f ca="1"/>
        <v>#NAME?</v>
      </c>
      <c r="AK5" t="e">
        <f ca="1"/>
        <v>#NAME?</v>
      </c>
      <c r="AL5" t="e">
        <f ca="1"/>
        <v>#NAME?</v>
      </c>
      <c r="AM5" t="e">
        <f ca="1"/>
        <v>#NAME?</v>
      </c>
      <c r="AN5" t="e">
        <f ca="1"/>
        <v>#NAME?</v>
      </c>
      <c r="AO5" t="e">
        <f ca="1"/>
        <v>#NAME?</v>
      </c>
      <c r="AP5" t="e">
        <f ca="1"/>
        <v>#NAME?</v>
      </c>
      <c r="AQ5" t="e">
        <f ca="1"/>
        <v>#NAME?</v>
      </c>
      <c r="AR5" t="e">
        <f ca="1"/>
        <v>#NAME?</v>
      </c>
      <c r="AS5" t="e">
        <f ca="1"/>
        <v>#NAME?</v>
      </c>
      <c r="AT5" t="e">
        <f ca="1"/>
        <v>#NAME?</v>
      </c>
    </row>
    <row r="6" spans="1:46" x14ac:dyDescent="0.3">
      <c r="A6" s="26">
        <f ca="1"/>
        <v>4</v>
      </c>
      <c r="B6" s="28" t="s">
        <v>1161</v>
      </c>
      <c r="C6" s="28" t="s">
        <v>2449</v>
      </c>
      <c r="D6" s="31" t="str">
        <f ca="1"/>
        <v/>
      </c>
      <c r="F6">
        <f ca="1"/>
        <v>18</v>
      </c>
      <c r="G6">
        <f ca="1"/>
        <v>2</v>
      </c>
      <c r="H6" s="28" t="str">
        <f ca="1"/>
        <v>Analisador Quimico@@@@@@@@@004</v>
      </c>
      <c r="I6" s="28" t="str">
        <f ca="1"/>
        <v>AQ@004</v>
      </c>
      <c r="J6" s="28" t="e">
        <f ca="1"/>
        <v>#NAME?</v>
      </c>
      <c r="K6" s="28" t="e">
        <f ca="1"/>
        <v>#NAME?</v>
      </c>
      <c r="L6" s="28" t="e">
        <f ca="1"/>
        <v>#NAME?</v>
      </c>
      <c r="M6" s="28" t="e">
        <f ca="1"/>
        <v>#NAME?</v>
      </c>
      <c r="N6" t="e">
        <f ca="1"/>
        <v>#NAME?</v>
      </c>
      <c r="O6" t="e">
        <f ca="1"/>
        <v>#NAME?</v>
      </c>
      <c r="P6" t="str">
        <f ca="1"/>
        <v/>
      </c>
      <c r="Q6" t="str">
        <f ca="1"/>
        <v/>
      </c>
      <c r="R6">
        <f ca="1"/>
        <v>0</v>
      </c>
      <c r="S6" t="str">
        <f ca="1"/>
        <v>Analisador Quimico</v>
      </c>
      <c r="T6" t="str">
        <f ca="1"/>
        <v>AQ</v>
      </c>
      <c r="U6" t="e">
        <f ca="1"/>
        <v>#NAME?</v>
      </c>
      <c r="V6" t="e">
        <f ca="1"/>
        <v>#NAME?</v>
      </c>
      <c r="W6" t="e">
        <f ca="1"/>
        <v>#NAME?</v>
      </c>
      <c r="X6" t="e">
        <f ca="1"/>
        <v>#NAME?</v>
      </c>
      <c r="Y6" t="e" cm="1">
        <f t="array" aca="1" ref="Y6" ca="1">IF(W6&lt;&gt;"", SUMPRODUCT( (input!H:H=tipos_eqs!W6)*1 ), "")</f>
        <v>#NAME?</v>
      </c>
      <c r="Z6" t="e">
        <f ca="1"/>
        <v>#NAME?</v>
      </c>
      <c r="AA6" t="e">
        <f ca="1"/>
        <v>#NAME?</v>
      </c>
      <c r="AB6" t="e">
        <f ca="1"/>
        <v>#NAME?</v>
      </c>
      <c r="AC6" t="e">
        <f t="shared" ca="1" si="2"/>
        <v>#NAME?</v>
      </c>
      <c r="AD6" t="e">
        <f t="shared" ca="1" si="0"/>
        <v>#NAME?</v>
      </c>
      <c r="AE6" t="e">
        <f t="shared" ca="1" si="1"/>
        <v>#NAME?</v>
      </c>
      <c r="AF6" t="e">
        <f ca="1"/>
        <v>#NAME?</v>
      </c>
      <c r="AG6" t="e">
        <f ca="1"/>
        <v>#NAME?</v>
      </c>
      <c r="AH6" t="e">
        <f ca="1"/>
        <v>#NAME?</v>
      </c>
      <c r="AI6" t="e">
        <f ca="1"/>
        <v>#NAME?</v>
      </c>
      <c r="AJ6" t="e">
        <f ca="1"/>
        <v>#NAME?</v>
      </c>
      <c r="AK6" t="e">
        <f ca="1"/>
        <v>#NAME?</v>
      </c>
      <c r="AL6" t="e">
        <f ca="1"/>
        <v>#NAME?</v>
      </c>
      <c r="AM6" t="e">
        <f ca="1"/>
        <v>#NAME?</v>
      </c>
      <c r="AN6" t="e">
        <f ca="1"/>
        <v>#NAME?</v>
      </c>
      <c r="AO6" t="e">
        <f ca="1"/>
        <v>#NAME?</v>
      </c>
      <c r="AP6" t="e">
        <f ca="1"/>
        <v>#NAME?</v>
      </c>
      <c r="AQ6" t="e">
        <f ca="1"/>
        <v>#NAME?</v>
      </c>
      <c r="AR6" t="e">
        <f ca="1"/>
        <v>#NAME?</v>
      </c>
      <c r="AS6" t="e">
        <f ca="1"/>
        <v>#NAME?</v>
      </c>
      <c r="AT6" t="e">
        <f ca="1"/>
        <v>#NAME?</v>
      </c>
    </row>
    <row r="7" spans="1:46" x14ac:dyDescent="0.3">
      <c r="A7" s="26">
        <f ca="1"/>
        <v>5</v>
      </c>
      <c r="B7" s="28" t="s">
        <v>1433</v>
      </c>
      <c r="C7" s="28" t="s">
        <v>2450</v>
      </c>
      <c r="D7" s="31" t="str">
        <f ca="1"/>
        <v/>
      </c>
      <c r="F7">
        <f ca="1"/>
        <v>15</v>
      </c>
      <c r="G7">
        <f ca="1"/>
        <v>2</v>
      </c>
      <c r="H7" s="28" t="str">
        <f ca="1"/>
        <v>Ar Condicionado@@@@@@@@@@@@005</v>
      </c>
      <c r="I7" s="28" t="str">
        <f ca="1"/>
        <v>AC@005</v>
      </c>
      <c r="J7" s="28" t="e">
        <f ca="1"/>
        <v>#NAME?</v>
      </c>
      <c r="K7" s="28" t="e">
        <f ca="1"/>
        <v>#NAME?</v>
      </c>
      <c r="L7" s="28" t="e">
        <f ca="1"/>
        <v>#NAME?</v>
      </c>
      <c r="M7" s="28" t="e">
        <f ca="1"/>
        <v>#NAME?</v>
      </c>
      <c r="N7" t="e">
        <f ca="1"/>
        <v>#NAME?</v>
      </c>
      <c r="O7" t="e">
        <f ca="1"/>
        <v>#NAME?</v>
      </c>
      <c r="P7" t="str">
        <f ca="1"/>
        <v/>
      </c>
      <c r="Q7" t="str">
        <f ca="1"/>
        <v/>
      </c>
      <c r="R7">
        <f ca="1"/>
        <v>0</v>
      </c>
      <c r="S7" t="str">
        <f ca="1"/>
        <v>Ar Condicionado</v>
      </c>
      <c r="T7" t="str">
        <f ca="1"/>
        <v>AC</v>
      </c>
      <c r="U7" t="e">
        <f ca="1"/>
        <v>#NAME?</v>
      </c>
      <c r="V7" t="e">
        <f ca="1"/>
        <v>#NAME?</v>
      </c>
      <c r="W7" t="e">
        <f ca="1"/>
        <v>#NAME?</v>
      </c>
      <c r="X7" t="e">
        <f ca="1"/>
        <v>#NAME?</v>
      </c>
      <c r="Y7" t="e" cm="1">
        <f t="array" aca="1" ref="Y7" ca="1">IF(W7&lt;&gt;"", SUMPRODUCT( (input!H:H=tipos_eqs!W7)*1 ), "")</f>
        <v>#NAME?</v>
      </c>
      <c r="Z7" t="e">
        <f ca="1"/>
        <v>#NAME?</v>
      </c>
      <c r="AA7" t="e">
        <f ca="1"/>
        <v>#NAME?</v>
      </c>
      <c r="AB7" t="e">
        <f ca="1"/>
        <v>#NAME?</v>
      </c>
      <c r="AC7" t="e">
        <f t="shared" ca="1" si="2"/>
        <v>#NAME?</v>
      </c>
      <c r="AD7" t="e">
        <f t="shared" ca="1" si="0"/>
        <v>#NAME?</v>
      </c>
      <c r="AE7" t="e">
        <f t="shared" ca="1" si="1"/>
        <v>#NAME?</v>
      </c>
      <c r="AF7" t="e">
        <f ca="1"/>
        <v>#NAME?</v>
      </c>
      <c r="AG7" t="e">
        <f ca="1"/>
        <v>#NAME?</v>
      </c>
      <c r="AH7" t="e">
        <f ca="1"/>
        <v>#NAME?</v>
      </c>
      <c r="AI7" t="e">
        <f ca="1"/>
        <v>#NAME?</v>
      </c>
      <c r="AJ7" t="e">
        <f ca="1"/>
        <v>#NAME?</v>
      </c>
      <c r="AK7" t="e">
        <f ca="1"/>
        <v>#NAME?</v>
      </c>
      <c r="AL7" t="e">
        <f ca="1"/>
        <v>#NAME?</v>
      </c>
      <c r="AM7" t="e">
        <f ca="1"/>
        <v>#NAME?</v>
      </c>
      <c r="AN7" t="e">
        <f ca="1"/>
        <v>#NAME?</v>
      </c>
      <c r="AO7" t="e">
        <f ca="1"/>
        <v>#NAME?</v>
      </c>
      <c r="AP7" t="e">
        <f ca="1"/>
        <v>#NAME?</v>
      </c>
      <c r="AQ7" t="e">
        <f ca="1"/>
        <v>#NAME?</v>
      </c>
      <c r="AR7" t="e">
        <f ca="1"/>
        <v>#NAME?</v>
      </c>
      <c r="AS7" t="e">
        <f ca="1"/>
        <v>#NAME?</v>
      </c>
      <c r="AT7" t="e">
        <f ca="1"/>
        <v>#NAME?</v>
      </c>
    </row>
    <row r="8" spans="1:46" x14ac:dyDescent="0.3">
      <c r="A8" s="26">
        <f ca="1"/>
        <v>6</v>
      </c>
      <c r="B8" s="28" t="s">
        <v>1145</v>
      </c>
      <c r="C8" s="28" t="s">
        <v>2451</v>
      </c>
      <c r="D8" s="31" t="str">
        <f ca="1"/>
        <v/>
      </c>
      <c r="F8">
        <f ca="1"/>
        <v>9</v>
      </c>
      <c r="G8">
        <f ca="1"/>
        <v>2</v>
      </c>
      <c r="H8" s="28" t="str">
        <f ca="1"/>
        <v>Aspirador@@@@@@@@@@@@@@@@@@006</v>
      </c>
      <c r="I8" s="28" t="str">
        <f ca="1"/>
        <v>AS@006</v>
      </c>
      <c r="J8" s="28" t="e">
        <f ca="1"/>
        <v>#NAME?</v>
      </c>
      <c r="K8" s="28" t="e">
        <f ca="1"/>
        <v>#NAME?</v>
      </c>
      <c r="L8" s="28" t="e">
        <f ca="1"/>
        <v>#NAME?</v>
      </c>
      <c r="M8" s="28" t="e">
        <f ca="1"/>
        <v>#NAME?</v>
      </c>
      <c r="N8" t="e">
        <f ca="1"/>
        <v>#NAME?</v>
      </c>
      <c r="O8" t="e">
        <f ca="1"/>
        <v>#NAME?</v>
      </c>
      <c r="P8" t="str">
        <f ca="1"/>
        <v/>
      </c>
      <c r="Q8" t="str">
        <f ca="1"/>
        <v/>
      </c>
      <c r="R8">
        <f ca="1"/>
        <v>0</v>
      </c>
      <c r="S8" t="str">
        <f ca="1"/>
        <v>Aspirador</v>
      </c>
      <c r="T8" t="str">
        <f ca="1"/>
        <v>AS</v>
      </c>
      <c r="U8" t="e">
        <f ca="1"/>
        <v>#NAME?</v>
      </c>
      <c r="V8" t="e">
        <f ca="1"/>
        <v>#NAME?</v>
      </c>
      <c r="W8" t="e">
        <f ca="1"/>
        <v>#NAME?</v>
      </c>
      <c r="X8" t="e">
        <f ca="1"/>
        <v>#NAME?</v>
      </c>
      <c r="Y8" t="e" cm="1">
        <f t="array" aca="1" ref="Y8" ca="1">IF(W8&lt;&gt;"", SUMPRODUCT( (input!H:H=tipos_eqs!W8)*1 ), "")</f>
        <v>#NAME?</v>
      </c>
      <c r="Z8" t="e">
        <f ca="1"/>
        <v>#NAME?</v>
      </c>
      <c r="AA8" t="e">
        <f ca="1"/>
        <v>#NAME?</v>
      </c>
      <c r="AB8" t="e">
        <f ca="1"/>
        <v>#NAME?</v>
      </c>
      <c r="AC8" t="e">
        <f t="shared" ca="1" si="2"/>
        <v>#NAME?</v>
      </c>
      <c r="AD8" t="e">
        <f t="shared" ca="1" si="0"/>
        <v>#NAME?</v>
      </c>
      <c r="AE8" t="e">
        <f t="shared" ca="1" si="1"/>
        <v>#NAME?</v>
      </c>
      <c r="AF8" t="e">
        <f ca="1"/>
        <v>#NAME?</v>
      </c>
      <c r="AG8" t="e">
        <f ca="1"/>
        <v>#NAME?</v>
      </c>
      <c r="AH8" t="e">
        <f ca="1"/>
        <v>#NAME?</v>
      </c>
      <c r="AI8" t="e">
        <f ca="1"/>
        <v>#NAME?</v>
      </c>
      <c r="AJ8" t="e">
        <f ca="1"/>
        <v>#NAME?</v>
      </c>
      <c r="AK8" t="e">
        <f ca="1"/>
        <v>#NAME?</v>
      </c>
      <c r="AL8" t="e">
        <f ca="1"/>
        <v>#NAME?</v>
      </c>
      <c r="AM8" t="e">
        <f ca="1"/>
        <v>#NAME?</v>
      </c>
      <c r="AN8" t="e">
        <f ca="1"/>
        <v>#NAME?</v>
      </c>
      <c r="AO8" t="e">
        <f ca="1"/>
        <v>#NAME?</v>
      </c>
      <c r="AP8" t="e">
        <f ca="1"/>
        <v>#NAME?</v>
      </c>
      <c r="AQ8" t="e">
        <f ca="1"/>
        <v>#NAME?</v>
      </c>
      <c r="AR8" t="e">
        <f ca="1"/>
        <v>#NAME?</v>
      </c>
      <c r="AS8" t="e">
        <f ca="1"/>
        <v>#NAME?</v>
      </c>
      <c r="AT8" t="e">
        <f ca="1"/>
        <v>#NAME?</v>
      </c>
    </row>
    <row r="9" spans="1:46" x14ac:dyDescent="0.3">
      <c r="A9" s="26">
        <f ca="1"/>
        <v>7</v>
      </c>
      <c r="B9" s="28" t="s">
        <v>1266</v>
      </c>
      <c r="C9" s="28" t="s">
        <v>2452</v>
      </c>
      <c r="D9" s="31" t="str">
        <f ca="1"/>
        <v/>
      </c>
      <c r="F9">
        <f ca="1"/>
        <v>10</v>
      </c>
      <c r="G9">
        <f ca="1"/>
        <v>2</v>
      </c>
      <c r="H9" s="28" t="str">
        <f ca="1"/>
        <v>Atomizador@@@@@@@@@@@@@@@@@007</v>
      </c>
      <c r="I9" s="28" t="str">
        <f ca="1"/>
        <v>AT@007</v>
      </c>
      <c r="J9" s="28" t="e">
        <f ca="1"/>
        <v>#NAME?</v>
      </c>
      <c r="K9" s="28" t="e">
        <f ca="1"/>
        <v>#NAME?</v>
      </c>
      <c r="L9" s="28" t="e">
        <f ca="1"/>
        <v>#NAME?</v>
      </c>
      <c r="M9" s="28" t="e">
        <f ca="1"/>
        <v>#NAME?</v>
      </c>
      <c r="N9" t="e">
        <f ca="1"/>
        <v>#NAME?</v>
      </c>
      <c r="O9" t="e">
        <f ca="1"/>
        <v>#NAME?</v>
      </c>
      <c r="P9" t="str">
        <f ca="1"/>
        <v/>
      </c>
      <c r="Q9" t="str">
        <f ca="1"/>
        <v/>
      </c>
      <c r="R9">
        <f ca="1"/>
        <v>0</v>
      </c>
      <c r="S9" t="str">
        <f ca="1"/>
        <v>Atomizador</v>
      </c>
      <c r="T9" t="str">
        <f ca="1"/>
        <v>AT</v>
      </c>
      <c r="U9" t="e">
        <f ca="1"/>
        <v>#NAME?</v>
      </c>
      <c r="V9" t="e">
        <f ca="1"/>
        <v>#NAME?</v>
      </c>
      <c r="W9" t="e">
        <f ca="1"/>
        <v>#NAME?</v>
      </c>
      <c r="X9" t="e">
        <f ca="1"/>
        <v>#NAME?</v>
      </c>
      <c r="Y9" t="e" cm="1">
        <f t="array" aca="1" ref="Y9" ca="1">IF(W9&lt;&gt;"", SUMPRODUCT( (input!H:H=tipos_eqs!W9)*1 ), "")</f>
        <v>#NAME?</v>
      </c>
      <c r="Z9" t="e">
        <f ca="1"/>
        <v>#NAME?</v>
      </c>
      <c r="AA9" t="e">
        <f ca="1"/>
        <v>#NAME?</v>
      </c>
      <c r="AB9" t="e">
        <f ca="1"/>
        <v>#NAME?</v>
      </c>
      <c r="AC9" t="e">
        <f t="shared" ca="1" si="2"/>
        <v>#NAME?</v>
      </c>
      <c r="AD9" t="e">
        <f t="shared" ca="1" si="0"/>
        <v>#NAME?</v>
      </c>
      <c r="AE9" t="e">
        <f t="shared" ca="1" si="1"/>
        <v>#NAME?</v>
      </c>
      <c r="AF9" t="e">
        <f ca="1"/>
        <v>#NAME?</v>
      </c>
      <c r="AG9" t="e">
        <f ca="1"/>
        <v>#NAME?</v>
      </c>
      <c r="AH9" t="e">
        <f ca="1"/>
        <v>#NAME?</v>
      </c>
      <c r="AI9" t="e">
        <f ca="1"/>
        <v>#NAME?</v>
      </c>
      <c r="AJ9" t="e">
        <f ca="1"/>
        <v>#NAME?</v>
      </c>
      <c r="AK9" t="e">
        <f ca="1"/>
        <v>#NAME?</v>
      </c>
      <c r="AL9" t="e">
        <f ca="1"/>
        <v>#NAME?</v>
      </c>
      <c r="AM9" t="e">
        <f ca="1"/>
        <v>#NAME?</v>
      </c>
      <c r="AN9" t="e">
        <f ca="1"/>
        <v>#NAME?</v>
      </c>
      <c r="AO9" t="e">
        <f ca="1"/>
        <v>#NAME?</v>
      </c>
      <c r="AP9" t="e">
        <f ca="1"/>
        <v>#NAME?</v>
      </c>
      <c r="AQ9" t="e">
        <f ca="1"/>
        <v>#NAME?</v>
      </c>
      <c r="AR9" t="e">
        <f ca="1"/>
        <v>#NAME?</v>
      </c>
      <c r="AS9" t="e">
        <f ca="1"/>
        <v>#NAME?</v>
      </c>
      <c r="AT9" t="e">
        <f ca="1"/>
        <v>#NAME?</v>
      </c>
    </row>
    <row r="10" spans="1:46" x14ac:dyDescent="0.3">
      <c r="A10" s="26">
        <f ca="1"/>
        <v>8</v>
      </c>
      <c r="B10" s="29" t="s">
        <v>2453</v>
      </c>
      <c r="C10" s="29"/>
      <c r="D10" s="31" t="str">
        <f ca="1"/>
        <v>0100</v>
      </c>
      <c r="F10">
        <f ca="1"/>
        <v>6</v>
      </c>
      <c r="G10">
        <f ca="1"/>
        <v>0</v>
      </c>
      <c r="H10" s="28" t="str">
        <f ca="1"/>
        <v>teste1@@@@@@@@@@@@@@@@@@@@@008</v>
      </c>
      <c r="I10" s="28" t="str">
        <f ca="1"/>
        <v>ZZZZZ@@@008</v>
      </c>
      <c r="J10" s="28" t="e">
        <f ca="1"/>
        <v>#NAME?</v>
      </c>
      <c r="K10" s="28" t="e">
        <f ca="1"/>
        <v>#NAME?</v>
      </c>
      <c r="L10" s="28" t="e">
        <f ca="1"/>
        <v>#NAME?</v>
      </c>
      <c r="M10" s="28" t="e">
        <f ca="1"/>
        <v>#NAME?</v>
      </c>
      <c r="N10" t="e">
        <f ca="1"/>
        <v>#NAME?</v>
      </c>
      <c r="O10" t="e">
        <f ca="1"/>
        <v>#NAME?</v>
      </c>
      <c r="P10" t="str">
        <f ca="1"/>
        <v/>
      </c>
      <c r="Q10" t="str">
        <f ca="1"/>
        <v/>
      </c>
      <c r="R10">
        <f ca="1"/>
        <v>4</v>
      </c>
      <c r="S10" t="str">
        <f ca="1"/>
        <v>ZZZZZ</v>
      </c>
      <c r="T10" t="str">
        <f ca="1"/>
        <v>ZZZZZ</v>
      </c>
      <c r="U10" t="e">
        <f ca="1"/>
        <v>#NAME?</v>
      </c>
      <c r="V10" t="e">
        <f ca="1"/>
        <v>#NAME?</v>
      </c>
      <c r="W10" t="e">
        <f ca="1"/>
        <v>#NAME?</v>
      </c>
      <c r="X10" t="e">
        <f ca="1"/>
        <v>#NAME?</v>
      </c>
      <c r="Y10" t="e" cm="1">
        <f t="array" aca="1" ref="Y10" ca="1">IF(W10&lt;&gt;"", SUMPRODUCT( (input!H:H=tipos_eqs!W10)*1 ), "")</f>
        <v>#NAME?</v>
      </c>
      <c r="Z10" t="e">
        <f ca="1"/>
        <v>#NAME?</v>
      </c>
      <c r="AA10" t="e">
        <f ca="1"/>
        <v>#NAME?</v>
      </c>
      <c r="AB10" t="e">
        <f ca="1"/>
        <v>#NAME?</v>
      </c>
      <c r="AC10" t="e">
        <f t="shared" ca="1" si="2"/>
        <v>#NAME?</v>
      </c>
      <c r="AD10" t="e">
        <f t="shared" ca="1" si="0"/>
        <v>#NAME?</v>
      </c>
      <c r="AE10" t="e">
        <f t="shared" ca="1" si="1"/>
        <v>#NAME?</v>
      </c>
      <c r="AF10" t="e">
        <f ca="1"/>
        <v>#NAME?</v>
      </c>
      <c r="AG10" t="e">
        <f ca="1"/>
        <v>#NAME?</v>
      </c>
      <c r="AH10" t="e">
        <f ca="1"/>
        <v>#NAME?</v>
      </c>
      <c r="AI10" t="e">
        <f ca="1"/>
        <v>#NAME?</v>
      </c>
      <c r="AJ10" t="e">
        <f ca="1"/>
        <v>#NAME?</v>
      </c>
      <c r="AK10" t="e">
        <f ca="1"/>
        <v>#NAME?</v>
      </c>
      <c r="AL10" t="e">
        <f ca="1"/>
        <v>#NAME?</v>
      </c>
      <c r="AM10" t="e">
        <f ca="1"/>
        <v>#NAME?</v>
      </c>
      <c r="AN10" t="e">
        <f ca="1"/>
        <v>#NAME?</v>
      </c>
      <c r="AO10" t="e">
        <f ca="1"/>
        <v>#NAME?</v>
      </c>
      <c r="AP10" t="e">
        <f ca="1"/>
        <v>#NAME?</v>
      </c>
      <c r="AQ10" t="e">
        <f ca="1"/>
        <v>#NAME?</v>
      </c>
      <c r="AR10" t="e">
        <f ca="1"/>
        <v>#NAME?</v>
      </c>
      <c r="AS10" t="e">
        <f ca="1"/>
        <v>#NAME?</v>
      </c>
      <c r="AT10" t="e">
        <f ca="1"/>
        <v>#NAME?</v>
      </c>
    </row>
    <row r="11" spans="1:46" x14ac:dyDescent="0.3">
      <c r="A11" s="26">
        <f ca="1"/>
        <v>9</v>
      </c>
      <c r="B11" s="28" t="s">
        <v>671</v>
      </c>
      <c r="C11" s="28" t="s">
        <v>2454</v>
      </c>
      <c r="D11" s="31" t="str">
        <f ca="1"/>
        <v/>
      </c>
      <c r="F11">
        <f ca="1"/>
        <v>7</v>
      </c>
      <c r="G11">
        <f ca="1"/>
        <v>2</v>
      </c>
      <c r="H11" s="28" t="str">
        <f ca="1"/>
        <v>Balança@@@@@@@@@@@@@@@@@@@@009</v>
      </c>
      <c r="I11" s="28" t="str">
        <f ca="1"/>
        <v>BL@009</v>
      </c>
      <c r="J11" s="28" t="e">
        <f ca="1"/>
        <v>#NAME?</v>
      </c>
      <c r="K11" s="28" t="e">
        <f ca="1"/>
        <v>#NAME?</v>
      </c>
      <c r="L11" s="28" t="e">
        <f ca="1"/>
        <v>#NAME?</v>
      </c>
      <c r="M11" s="28" t="e">
        <f ca="1"/>
        <v>#NAME?</v>
      </c>
      <c r="N11" t="e">
        <f ca="1"/>
        <v>#NAME?</v>
      </c>
      <c r="O11" t="e">
        <f ca="1"/>
        <v>#NAME?</v>
      </c>
      <c r="P11" t="str">
        <f ca="1"/>
        <v/>
      </c>
      <c r="Q11" t="str">
        <f ca="1"/>
        <v/>
      </c>
      <c r="R11">
        <f ca="1"/>
        <v>0</v>
      </c>
      <c r="S11" t="str">
        <f ca="1"/>
        <v>Balança</v>
      </c>
      <c r="T11" t="str">
        <f ca="1"/>
        <v>BL</v>
      </c>
      <c r="U11" t="e">
        <f ca="1"/>
        <v>#NAME?</v>
      </c>
      <c r="V11" t="e">
        <f ca="1"/>
        <v>#NAME?</v>
      </c>
      <c r="W11" t="e">
        <f ca="1"/>
        <v>#NAME?</v>
      </c>
      <c r="X11" t="e">
        <f ca="1"/>
        <v>#NAME?</v>
      </c>
      <c r="Y11" t="e" cm="1">
        <f t="array" aca="1" ref="Y11" ca="1">IF(W11&lt;&gt;"", SUMPRODUCT( (input!H:H=tipos_eqs!W11)*1 ), "")</f>
        <v>#NAME?</v>
      </c>
      <c r="Z11" t="e">
        <f ca="1"/>
        <v>#NAME?</v>
      </c>
      <c r="AA11" t="e">
        <f ca="1"/>
        <v>#NAME?</v>
      </c>
      <c r="AB11" t="e">
        <f ca="1"/>
        <v>#NAME?</v>
      </c>
      <c r="AC11" t="e">
        <f t="shared" ca="1" si="2"/>
        <v>#NAME?</v>
      </c>
      <c r="AD11" t="e">
        <f t="shared" ca="1" si="0"/>
        <v>#NAME?</v>
      </c>
      <c r="AE11" t="e">
        <f t="shared" ca="1" si="1"/>
        <v>#NAME?</v>
      </c>
      <c r="AF11" t="e">
        <f ca="1"/>
        <v>#NAME?</v>
      </c>
      <c r="AG11" t="e">
        <f ca="1"/>
        <v>#NAME?</v>
      </c>
      <c r="AH11" t="e">
        <f ca="1"/>
        <v>#NAME?</v>
      </c>
      <c r="AI11" t="e">
        <f ca="1"/>
        <v>#NAME?</v>
      </c>
      <c r="AJ11" t="e">
        <f ca="1"/>
        <v>#NAME?</v>
      </c>
      <c r="AK11" t="e">
        <f ca="1"/>
        <v>#NAME?</v>
      </c>
      <c r="AL11" t="e">
        <f ca="1"/>
        <v>#NAME?</v>
      </c>
      <c r="AM11" t="e">
        <f ca="1"/>
        <v>#NAME?</v>
      </c>
      <c r="AN11" t="e">
        <f ca="1"/>
        <v>#NAME?</v>
      </c>
      <c r="AO11" t="e">
        <f ca="1"/>
        <v>#NAME?</v>
      </c>
      <c r="AP11" t="e">
        <f ca="1"/>
        <v>#NAME?</v>
      </c>
      <c r="AQ11" t="e">
        <f ca="1"/>
        <v>#NAME?</v>
      </c>
      <c r="AR11" t="e">
        <f ca="1"/>
        <v>#NAME?</v>
      </c>
      <c r="AS11" t="e">
        <f ca="1"/>
        <v>#NAME?</v>
      </c>
      <c r="AT11" t="e">
        <f ca="1"/>
        <v>#NAME?</v>
      </c>
    </row>
    <row r="12" spans="1:46" x14ac:dyDescent="0.3">
      <c r="A12" s="26">
        <f ca="1"/>
        <v>10</v>
      </c>
      <c r="B12" s="28" t="s">
        <v>712</v>
      </c>
      <c r="C12" s="28" t="s">
        <v>2455</v>
      </c>
      <c r="D12" s="31" t="str">
        <f ca="1"/>
        <v/>
      </c>
      <c r="F12">
        <f ca="1"/>
        <v>5</v>
      </c>
      <c r="G12">
        <f ca="1"/>
        <v>2</v>
      </c>
      <c r="H12" s="28" t="str">
        <f ca="1"/>
        <v>Banho@@@@@@@@@@@@@@@@@@@@@@010</v>
      </c>
      <c r="I12" s="28" t="str">
        <f ca="1"/>
        <v>BA@010</v>
      </c>
      <c r="J12" s="28" t="e">
        <f ca="1"/>
        <v>#NAME?</v>
      </c>
      <c r="K12" s="28" t="e">
        <f ca="1"/>
        <v>#NAME?</v>
      </c>
      <c r="L12" s="28" t="e">
        <f ca="1"/>
        <v>#NAME?</v>
      </c>
      <c r="M12" s="28" t="e">
        <f ca="1"/>
        <v>#NAME?</v>
      </c>
      <c r="N12" t="e">
        <f ca="1"/>
        <v>#NAME?</v>
      </c>
      <c r="O12" t="e">
        <f ca="1"/>
        <v>#NAME?</v>
      </c>
      <c r="P12" t="str">
        <f ca="1"/>
        <v/>
      </c>
      <c r="Q12" t="str">
        <f ca="1"/>
        <v/>
      </c>
      <c r="R12">
        <f ca="1"/>
        <v>0</v>
      </c>
      <c r="S12" t="str">
        <f ca="1"/>
        <v>Banho</v>
      </c>
      <c r="T12" t="str">
        <f ca="1"/>
        <v>BA</v>
      </c>
      <c r="U12" t="e">
        <f ca="1"/>
        <v>#NAME?</v>
      </c>
      <c r="V12" t="e">
        <f ca="1"/>
        <v>#NAME?</v>
      </c>
      <c r="W12" t="e">
        <f ca="1"/>
        <v>#NAME?</v>
      </c>
      <c r="X12" t="e">
        <f ca="1"/>
        <v>#NAME?</v>
      </c>
      <c r="Y12" t="e" cm="1">
        <f t="array" aca="1" ref="Y12" ca="1">IF(W12&lt;&gt;"", SUMPRODUCT( (input!H:H=tipos_eqs!W12)*1 ), "")</f>
        <v>#NAME?</v>
      </c>
      <c r="Z12" t="e">
        <f ca="1"/>
        <v>#NAME?</v>
      </c>
      <c r="AA12" t="e">
        <f ca="1"/>
        <v>#NAME?</v>
      </c>
      <c r="AB12" t="e">
        <f ca="1"/>
        <v>#NAME?</v>
      </c>
      <c r="AC12" t="e">
        <f t="shared" ca="1" si="2"/>
        <v>#NAME?</v>
      </c>
      <c r="AD12" t="e">
        <f t="shared" ca="1" si="0"/>
        <v>#NAME?</v>
      </c>
      <c r="AE12" t="e">
        <f t="shared" ca="1" si="1"/>
        <v>#NAME?</v>
      </c>
      <c r="AF12" t="e">
        <f ca="1"/>
        <v>#NAME?</v>
      </c>
      <c r="AG12" t="e">
        <f ca="1"/>
        <v>#NAME?</v>
      </c>
      <c r="AH12" t="e">
        <f ca="1"/>
        <v>#NAME?</v>
      </c>
      <c r="AI12" t="e">
        <f ca="1"/>
        <v>#NAME?</v>
      </c>
      <c r="AJ12" t="e">
        <f ca="1"/>
        <v>#NAME?</v>
      </c>
      <c r="AK12" t="e">
        <f ca="1"/>
        <v>#NAME?</v>
      </c>
      <c r="AL12" t="e">
        <f ca="1"/>
        <v>#NAME?</v>
      </c>
      <c r="AM12" t="e">
        <f ca="1"/>
        <v>#NAME?</v>
      </c>
      <c r="AN12" t="e">
        <f ca="1"/>
        <v>#NAME?</v>
      </c>
      <c r="AO12" t="e">
        <f ca="1"/>
        <v>#NAME?</v>
      </c>
      <c r="AP12" t="e">
        <f ca="1"/>
        <v>#NAME?</v>
      </c>
      <c r="AQ12" t="e">
        <f ca="1"/>
        <v>#NAME?</v>
      </c>
      <c r="AR12" t="e">
        <f ca="1"/>
        <v>#NAME?</v>
      </c>
      <c r="AS12" t="e">
        <f ca="1"/>
        <v>#NAME?</v>
      </c>
      <c r="AT12" t="e">
        <f ca="1"/>
        <v>#NAME?</v>
      </c>
    </row>
    <row r="13" spans="1:46" x14ac:dyDescent="0.3">
      <c r="A13" s="26">
        <f ca="1"/>
        <v>11</v>
      </c>
      <c r="B13" s="29" t="s">
        <v>2456</v>
      </c>
      <c r="C13" s="29" t="s">
        <v>2457</v>
      </c>
      <c r="D13" s="31" t="str">
        <f ca="1"/>
        <v/>
      </c>
      <c r="F13">
        <f ca="1"/>
        <v>6</v>
      </c>
      <c r="G13">
        <f ca="1"/>
        <v>2</v>
      </c>
      <c r="H13" s="28" t="str">
        <f ca="1"/>
        <v>teste2@@@@@@@@@@@@@@@@@@@@@011</v>
      </c>
      <c r="I13" s="28" t="str">
        <f ca="1"/>
        <v>ZY@011</v>
      </c>
      <c r="J13" s="28" t="e">
        <f ca="1"/>
        <v>#NAME?</v>
      </c>
      <c r="K13" s="28" t="e">
        <f ca="1"/>
        <v>#NAME?</v>
      </c>
      <c r="L13" s="28" t="e">
        <f ca="1"/>
        <v>#NAME?</v>
      </c>
      <c r="M13" s="28" t="e">
        <f ca="1"/>
        <v>#NAME?</v>
      </c>
      <c r="N13" t="e">
        <f ca="1"/>
        <v>#NAME?</v>
      </c>
      <c r="O13" t="e">
        <f ca="1"/>
        <v>#NAME?</v>
      </c>
      <c r="P13" t="str">
        <f ca="1"/>
        <v/>
      </c>
      <c r="Q13" t="str">
        <f ca="1"/>
        <v/>
      </c>
      <c r="R13">
        <f ca="1"/>
        <v>0</v>
      </c>
      <c r="S13" t="str">
        <f ca="1"/>
        <v>teste2</v>
      </c>
      <c r="T13" t="str">
        <f ca="1"/>
        <v>ZY</v>
      </c>
      <c r="U13" t="e">
        <f ca="1"/>
        <v>#NAME?</v>
      </c>
      <c r="V13" t="e">
        <f ca="1"/>
        <v>#NAME?</v>
      </c>
      <c r="W13" t="e">
        <f ca="1"/>
        <v>#NAME?</v>
      </c>
      <c r="X13" t="e">
        <f ca="1"/>
        <v>#NAME?</v>
      </c>
      <c r="Y13" t="e" cm="1">
        <f t="array" aca="1" ref="Y13" ca="1">IF(W13&lt;&gt;"", SUMPRODUCT( (input!H:H=tipos_eqs!W13)*1 ), "")</f>
        <v>#NAME?</v>
      </c>
      <c r="Z13" t="e">
        <f ca="1"/>
        <v>#NAME?</v>
      </c>
      <c r="AA13" t="e">
        <f ca="1"/>
        <v>#NAME?</v>
      </c>
      <c r="AB13" t="e">
        <f ca="1"/>
        <v>#NAME?</v>
      </c>
      <c r="AC13" t="e">
        <f t="shared" ca="1" si="2"/>
        <v>#NAME?</v>
      </c>
      <c r="AD13" t="e">
        <f t="shared" ca="1" si="0"/>
        <v>#NAME?</v>
      </c>
      <c r="AE13" t="e">
        <f t="shared" ca="1" si="1"/>
        <v>#NAME?</v>
      </c>
      <c r="AF13" t="e">
        <f ca="1"/>
        <v>#NAME?</v>
      </c>
      <c r="AG13" t="e">
        <f ca="1"/>
        <v>#NAME?</v>
      </c>
      <c r="AH13" t="e">
        <f ca="1"/>
        <v>#NAME?</v>
      </c>
      <c r="AI13" t="e">
        <f ca="1"/>
        <v>#NAME?</v>
      </c>
      <c r="AJ13" t="e">
        <f ca="1"/>
        <v>#NAME?</v>
      </c>
      <c r="AK13" t="e">
        <f ca="1"/>
        <v>#NAME?</v>
      </c>
      <c r="AL13" t="e">
        <f ca="1"/>
        <v>#NAME?</v>
      </c>
      <c r="AM13" t="e">
        <f ca="1"/>
        <v>#NAME?</v>
      </c>
      <c r="AN13" t="e">
        <f ca="1"/>
        <v>#NAME?</v>
      </c>
      <c r="AO13" t="e">
        <f ca="1"/>
        <v>#NAME?</v>
      </c>
      <c r="AP13" t="e">
        <f ca="1"/>
        <v>#NAME?</v>
      </c>
      <c r="AQ13" t="e">
        <f ca="1"/>
        <v>#NAME?</v>
      </c>
      <c r="AR13" t="e">
        <f ca="1"/>
        <v>#NAME?</v>
      </c>
      <c r="AS13" t="e">
        <f ca="1"/>
        <v>#NAME?</v>
      </c>
      <c r="AT13" t="e">
        <f ca="1"/>
        <v>#NAME?</v>
      </c>
    </row>
    <row r="14" spans="1:46" x14ac:dyDescent="0.3">
      <c r="A14" s="26">
        <f ca="1"/>
        <v>12</v>
      </c>
      <c r="B14" s="28" t="s">
        <v>697</v>
      </c>
      <c r="C14" s="28" t="s">
        <v>2458</v>
      </c>
      <c r="D14" s="31" t="str">
        <f ca="1"/>
        <v/>
      </c>
      <c r="F14">
        <f ca="1"/>
        <v>5</v>
      </c>
      <c r="G14">
        <f ca="1"/>
        <v>2</v>
      </c>
      <c r="H14" s="28" t="str">
        <f ca="1"/>
        <v>Bomba@@@@@@@@@@@@@@@@@@@@@@012</v>
      </c>
      <c r="I14" s="28" t="str">
        <f ca="1"/>
        <v>BB@012</v>
      </c>
      <c r="J14" s="28" t="e">
        <f ca="1"/>
        <v>#NAME?</v>
      </c>
      <c r="K14" s="28" t="e">
        <f ca="1"/>
        <v>#NAME?</v>
      </c>
      <c r="L14" s="28" t="e">
        <f ca="1"/>
        <v>#NAME?</v>
      </c>
      <c r="M14" s="28" t="e">
        <f ca="1"/>
        <v>#NAME?</v>
      </c>
      <c r="N14" t="e">
        <f ca="1"/>
        <v>#NAME?</v>
      </c>
      <c r="O14" t="e">
        <f ca="1"/>
        <v>#NAME?</v>
      </c>
      <c r="P14" t="str">
        <f ca="1"/>
        <v/>
      </c>
      <c r="Q14" t="str">
        <f ca="1"/>
        <v/>
      </c>
      <c r="R14">
        <f ca="1"/>
        <v>0</v>
      </c>
      <c r="S14" t="str">
        <f ca="1"/>
        <v>Bomba</v>
      </c>
      <c r="T14" t="str">
        <f ca="1"/>
        <v>BB</v>
      </c>
      <c r="U14" t="e">
        <f ca="1"/>
        <v>#NAME?</v>
      </c>
      <c r="V14" t="e">
        <f ca="1"/>
        <v>#NAME?</v>
      </c>
      <c r="W14" t="e">
        <f ca="1"/>
        <v>#NAME?</v>
      </c>
      <c r="X14" t="e">
        <f ca="1"/>
        <v>#NAME?</v>
      </c>
      <c r="Y14" t="e" cm="1">
        <f t="array" aca="1" ref="Y14" ca="1">IF(W14&lt;&gt;"", SUMPRODUCT( (input!H:H=tipos_eqs!W14)*1 ), "")</f>
        <v>#NAME?</v>
      </c>
      <c r="Z14" t="e">
        <f ca="1"/>
        <v>#NAME?</v>
      </c>
      <c r="AA14" t="e">
        <f ca="1"/>
        <v>#NAME?</v>
      </c>
      <c r="AB14" t="e">
        <f ca="1"/>
        <v>#NAME?</v>
      </c>
      <c r="AC14" t="e">
        <f t="shared" ca="1" si="2"/>
        <v>#NAME?</v>
      </c>
      <c r="AD14" t="e">
        <f t="shared" ca="1" si="0"/>
        <v>#NAME?</v>
      </c>
      <c r="AE14" t="e">
        <f t="shared" ca="1" si="1"/>
        <v>#NAME?</v>
      </c>
      <c r="AF14" t="e">
        <f ca="1"/>
        <v>#NAME?</v>
      </c>
      <c r="AG14" t="e">
        <f ca="1"/>
        <v>#NAME?</v>
      </c>
      <c r="AH14" t="e">
        <f ca="1"/>
        <v>#NAME?</v>
      </c>
      <c r="AI14" t="e">
        <f ca="1"/>
        <v>#NAME?</v>
      </c>
      <c r="AJ14" t="e">
        <f ca="1"/>
        <v>#NAME?</v>
      </c>
      <c r="AK14" t="e">
        <f ca="1"/>
        <v>#NAME?</v>
      </c>
      <c r="AL14" t="e">
        <f ca="1"/>
        <v>#NAME?</v>
      </c>
      <c r="AM14" t="e">
        <f ca="1"/>
        <v>#NAME?</v>
      </c>
      <c r="AN14" t="e">
        <f ca="1"/>
        <v>#NAME?</v>
      </c>
      <c r="AO14" t="e">
        <f ca="1"/>
        <v>#NAME?</v>
      </c>
      <c r="AP14" t="e">
        <f ca="1"/>
        <v>#NAME?</v>
      </c>
      <c r="AQ14" t="e">
        <f ca="1"/>
        <v>#NAME?</v>
      </c>
      <c r="AR14" t="e">
        <f ca="1"/>
        <v>#NAME?</v>
      </c>
      <c r="AS14" t="e">
        <f ca="1"/>
        <v>#NAME?</v>
      </c>
      <c r="AT14" t="e">
        <f ca="1"/>
        <v>#NAME?</v>
      </c>
    </row>
    <row r="15" spans="1:46" x14ac:dyDescent="0.3">
      <c r="A15" s="26">
        <f ca="1"/>
        <v>13</v>
      </c>
      <c r="B15" s="28" t="s">
        <v>656</v>
      </c>
      <c r="C15" s="28" t="s">
        <v>2459</v>
      </c>
      <c r="D15" s="31" t="str">
        <f ca="1"/>
        <v/>
      </c>
      <c r="F15">
        <f ca="1"/>
        <v>13</v>
      </c>
      <c r="G15">
        <f ca="1"/>
        <v>2</v>
      </c>
      <c r="H15" s="28" t="str">
        <f ca="1"/>
        <v>Briquetadeira@@@@@@@@@@@@@@013</v>
      </c>
      <c r="I15" s="28" t="str">
        <f ca="1"/>
        <v>BQ@013</v>
      </c>
      <c r="J15" s="28" t="e">
        <f ca="1"/>
        <v>#NAME?</v>
      </c>
      <c r="K15" s="28" t="e">
        <f ca="1"/>
        <v>#NAME?</v>
      </c>
      <c r="L15" s="28" t="e">
        <f ca="1"/>
        <v>#NAME?</v>
      </c>
      <c r="M15" s="28" t="e">
        <f ca="1"/>
        <v>#NAME?</v>
      </c>
      <c r="N15" t="e">
        <f ca="1"/>
        <v>#NAME?</v>
      </c>
      <c r="O15" t="e">
        <f ca="1"/>
        <v>#NAME?</v>
      </c>
      <c r="P15" t="str">
        <f ca="1"/>
        <v/>
      </c>
      <c r="Q15" t="str">
        <f ca="1"/>
        <v/>
      </c>
      <c r="R15">
        <f ca="1"/>
        <v>0</v>
      </c>
      <c r="S15" t="str">
        <f ca="1"/>
        <v>Briquetadeira</v>
      </c>
      <c r="T15" t="str">
        <f ca="1"/>
        <v>BQ</v>
      </c>
      <c r="U15" t="e">
        <f ca="1"/>
        <v>#NAME?</v>
      </c>
      <c r="V15" t="e">
        <f ca="1"/>
        <v>#NAME?</v>
      </c>
      <c r="W15" t="e">
        <f ca="1"/>
        <v>#NAME?</v>
      </c>
      <c r="X15" t="e">
        <f ca="1"/>
        <v>#NAME?</v>
      </c>
      <c r="Y15" t="e" cm="1">
        <f t="array" aca="1" ref="Y15" ca="1">IF(W15&lt;&gt;"", SUMPRODUCT( (input!H:H=tipos_eqs!W15)*1 ), "")</f>
        <v>#NAME?</v>
      </c>
      <c r="Z15" t="e">
        <f ca="1"/>
        <v>#NAME?</v>
      </c>
      <c r="AA15" t="e">
        <f ca="1"/>
        <v>#NAME?</v>
      </c>
      <c r="AB15" t="e">
        <f ca="1"/>
        <v>#NAME?</v>
      </c>
      <c r="AC15" t="e">
        <f t="shared" ca="1" si="2"/>
        <v>#NAME?</v>
      </c>
      <c r="AD15" t="e">
        <f t="shared" ca="1" si="0"/>
        <v>#NAME?</v>
      </c>
      <c r="AE15" t="e">
        <f t="shared" ca="1" si="1"/>
        <v>#NAME?</v>
      </c>
      <c r="AF15" t="e">
        <f ca="1"/>
        <v>#NAME?</v>
      </c>
      <c r="AG15" t="e">
        <f ca="1"/>
        <v>#NAME?</v>
      </c>
      <c r="AH15" t="e">
        <f ca="1"/>
        <v>#NAME?</v>
      </c>
      <c r="AI15" t="e">
        <f ca="1"/>
        <v>#NAME?</v>
      </c>
      <c r="AJ15" t="e">
        <f ca="1"/>
        <v>#NAME?</v>
      </c>
      <c r="AK15" t="e">
        <f ca="1"/>
        <v>#NAME?</v>
      </c>
      <c r="AL15" t="e">
        <f ca="1"/>
        <v>#NAME?</v>
      </c>
      <c r="AM15" t="e">
        <f ca="1"/>
        <v>#NAME?</v>
      </c>
      <c r="AN15" t="e">
        <f ca="1"/>
        <v>#NAME?</v>
      </c>
      <c r="AO15" t="e">
        <f ca="1"/>
        <v>#NAME?</v>
      </c>
      <c r="AP15" t="e">
        <f ca="1"/>
        <v>#NAME?</v>
      </c>
      <c r="AQ15" t="e">
        <f ca="1"/>
        <v>#NAME?</v>
      </c>
      <c r="AR15" t="e">
        <f ca="1"/>
        <v>#NAME?</v>
      </c>
      <c r="AS15" t="e">
        <f ca="1"/>
        <v>#NAME?</v>
      </c>
      <c r="AT15" t="e">
        <f ca="1"/>
        <v>#NAME?</v>
      </c>
    </row>
    <row r="16" spans="1:46" x14ac:dyDescent="0.3">
      <c r="A16" s="26">
        <f ca="1"/>
        <v>14</v>
      </c>
      <c r="B16" s="28" t="s">
        <v>630</v>
      </c>
      <c r="C16" s="28" t="s">
        <v>2460</v>
      </c>
      <c r="D16" s="31" t="str">
        <f ca="1"/>
        <v/>
      </c>
      <c r="F16">
        <f ca="1"/>
        <v>8</v>
      </c>
      <c r="G16">
        <f ca="1"/>
        <v>2</v>
      </c>
      <c r="H16" s="28" t="str">
        <f ca="1"/>
        <v>Britador@@@@@@@@@@@@@@@@@@@014</v>
      </c>
      <c r="I16" s="28" t="str">
        <f ca="1"/>
        <v>BR@014</v>
      </c>
      <c r="J16" s="28" t="e">
        <f ca="1"/>
        <v>#NAME?</v>
      </c>
      <c r="K16" s="28" t="e">
        <f ca="1"/>
        <v>#NAME?</v>
      </c>
      <c r="L16" s="28" t="e">
        <f ca="1"/>
        <v>#NAME?</v>
      </c>
      <c r="M16" s="28" t="e">
        <f ca="1"/>
        <v>#NAME?</v>
      </c>
      <c r="N16" t="e">
        <f ca="1"/>
        <v>#NAME?</v>
      </c>
      <c r="O16" t="e">
        <f ca="1"/>
        <v>#NAME?</v>
      </c>
      <c r="P16" t="str">
        <f ca="1"/>
        <v/>
      </c>
      <c r="Q16" t="str">
        <f ca="1"/>
        <v/>
      </c>
      <c r="R16">
        <f ca="1"/>
        <v>0</v>
      </c>
      <c r="S16" t="str">
        <f ca="1"/>
        <v>Britador</v>
      </c>
      <c r="T16" t="str">
        <f ca="1"/>
        <v>BR</v>
      </c>
      <c r="U16" t="e">
        <f ca="1"/>
        <v>#NAME?</v>
      </c>
      <c r="V16" t="e">
        <f ca="1"/>
        <v>#NAME?</v>
      </c>
      <c r="W16" t="e">
        <f ca="1"/>
        <v>#NAME?</v>
      </c>
      <c r="X16" t="e">
        <f ca="1"/>
        <v>#NAME?</v>
      </c>
      <c r="Y16" t="e" cm="1">
        <f t="array" aca="1" ref="Y16" ca="1">IF(W16&lt;&gt;"", SUMPRODUCT( (input!H:H=tipos_eqs!W16)*1 ), "")</f>
        <v>#NAME?</v>
      </c>
      <c r="Z16" t="e">
        <f ca="1"/>
        <v>#NAME?</v>
      </c>
      <c r="AA16" t="e">
        <f ca="1"/>
        <v>#NAME?</v>
      </c>
      <c r="AB16" t="e">
        <f ca="1"/>
        <v>#NAME?</v>
      </c>
      <c r="AC16" t="e">
        <f t="shared" ca="1" si="2"/>
        <v>#NAME?</v>
      </c>
      <c r="AD16" t="e">
        <f t="shared" ca="1" si="0"/>
        <v>#NAME?</v>
      </c>
      <c r="AE16" t="e">
        <f t="shared" ca="1" si="1"/>
        <v>#NAME?</v>
      </c>
      <c r="AF16" t="e">
        <f ca="1"/>
        <v>#NAME?</v>
      </c>
      <c r="AG16" t="e">
        <f ca="1"/>
        <v>#NAME?</v>
      </c>
      <c r="AH16" t="e">
        <f ca="1"/>
        <v>#NAME?</v>
      </c>
      <c r="AI16" t="e">
        <f ca="1"/>
        <v>#NAME?</v>
      </c>
      <c r="AJ16" t="e">
        <f ca="1"/>
        <v>#NAME?</v>
      </c>
      <c r="AK16" t="e">
        <f ca="1"/>
        <v>#NAME?</v>
      </c>
      <c r="AL16" t="e">
        <f ca="1"/>
        <v>#NAME?</v>
      </c>
      <c r="AM16" t="e">
        <f ca="1"/>
        <v>#NAME?</v>
      </c>
      <c r="AN16" t="e">
        <f ca="1"/>
        <v>#NAME?</v>
      </c>
      <c r="AO16" t="e">
        <f ca="1"/>
        <v>#NAME?</v>
      </c>
      <c r="AP16" t="e">
        <f ca="1"/>
        <v>#NAME?</v>
      </c>
      <c r="AQ16" t="e">
        <f ca="1"/>
        <v>#NAME?</v>
      </c>
      <c r="AR16" t="e">
        <f ca="1"/>
        <v>#NAME?</v>
      </c>
      <c r="AS16" t="e">
        <f ca="1"/>
        <v>#NAME?</v>
      </c>
      <c r="AT16" t="e">
        <f ca="1"/>
        <v>#NAME?</v>
      </c>
    </row>
    <row r="17" spans="1:46" x14ac:dyDescent="0.3">
      <c r="A17" s="26">
        <f ca="1"/>
        <v>15</v>
      </c>
      <c r="B17" s="29"/>
      <c r="C17" s="29" t="s">
        <v>2457</v>
      </c>
      <c r="D17" s="31" t="str">
        <f ca="1"/>
        <v>1000</v>
      </c>
      <c r="F17">
        <f ca="1"/>
        <v>0</v>
      </c>
      <c r="G17">
        <f ca="1"/>
        <v>2</v>
      </c>
      <c r="H17" s="28" t="str">
        <f ca="1"/>
        <v>ZZZZZ@@@@@@@@@@@@@@@@@@@@@@@@@@@015</v>
      </c>
      <c r="I17" s="28" t="str">
        <f ca="1"/>
        <v>ZY@015</v>
      </c>
      <c r="J17" s="28" t="e">
        <f ca="1"/>
        <v>#NAME?</v>
      </c>
      <c r="K17" s="28" t="e">
        <f ca="1"/>
        <v>#NAME?</v>
      </c>
      <c r="L17" s="28" t="e">
        <f ca="1"/>
        <v>#NAME?</v>
      </c>
      <c r="M17" s="28" t="e">
        <f ca="1"/>
        <v>#NAME?</v>
      </c>
      <c r="N17" t="e">
        <f ca="1"/>
        <v>#NAME?</v>
      </c>
      <c r="O17" t="e">
        <f ca="1"/>
        <v>#NAME?</v>
      </c>
      <c r="P17" t="str">
        <f ca="1"/>
        <v/>
      </c>
      <c r="Q17" t="str">
        <f ca="1"/>
        <v/>
      </c>
      <c r="R17">
        <f ca="1"/>
        <v>8</v>
      </c>
      <c r="S17" t="str">
        <f ca="1"/>
        <v>ZZZZZ</v>
      </c>
      <c r="T17" t="str">
        <f ca="1"/>
        <v>ZZZZZ</v>
      </c>
      <c r="U17" t="e">
        <f ca="1"/>
        <v>#NAME?</v>
      </c>
      <c r="V17" t="e">
        <f ca="1"/>
        <v>#NAME?</v>
      </c>
      <c r="W17" t="e">
        <f ca="1"/>
        <v>#NAME?</v>
      </c>
      <c r="X17" t="e">
        <f ca="1"/>
        <v>#NAME?</v>
      </c>
      <c r="Y17" t="e" cm="1">
        <f t="array" aca="1" ref="Y17" ca="1">IF(W17&lt;&gt;"", SUMPRODUCT( (input!H:H=tipos_eqs!W17)*1 ), "")</f>
        <v>#NAME?</v>
      </c>
      <c r="Z17" t="e">
        <f ca="1"/>
        <v>#NAME?</v>
      </c>
      <c r="AA17" t="e">
        <f ca="1"/>
        <v>#NAME?</v>
      </c>
      <c r="AB17" t="e">
        <f ca="1"/>
        <v>#NAME?</v>
      </c>
      <c r="AC17" t="e">
        <f t="shared" ca="1" si="2"/>
        <v>#NAME?</v>
      </c>
      <c r="AD17" t="e">
        <f t="shared" ca="1" si="0"/>
        <v>#NAME?</v>
      </c>
      <c r="AE17" t="e">
        <f t="shared" ca="1" si="1"/>
        <v>#NAME?</v>
      </c>
      <c r="AF17" t="e">
        <f ca="1"/>
        <v>#NAME?</v>
      </c>
      <c r="AG17" t="e">
        <f ca="1"/>
        <v>#NAME?</v>
      </c>
      <c r="AH17" t="e">
        <f ca="1"/>
        <v>#NAME?</v>
      </c>
      <c r="AI17" t="e">
        <f ca="1"/>
        <v>#NAME?</v>
      </c>
      <c r="AJ17" t="e">
        <f ca="1"/>
        <v>#NAME?</v>
      </c>
      <c r="AK17" t="e">
        <f ca="1"/>
        <v>#NAME?</v>
      </c>
      <c r="AL17" t="e">
        <f ca="1"/>
        <v>#NAME?</v>
      </c>
      <c r="AM17" t="e">
        <f ca="1"/>
        <v>#NAME?</v>
      </c>
      <c r="AN17" t="e">
        <f ca="1"/>
        <v>#NAME?</v>
      </c>
      <c r="AO17" t="e">
        <f ca="1"/>
        <v>#NAME?</v>
      </c>
      <c r="AP17" t="e">
        <f ca="1"/>
        <v>#NAME?</v>
      </c>
      <c r="AQ17" t="e">
        <f ca="1"/>
        <v>#NAME?</v>
      </c>
      <c r="AR17" t="e">
        <f ca="1"/>
        <v>#NAME?</v>
      </c>
      <c r="AS17" t="e">
        <f ca="1"/>
        <v>#NAME?</v>
      </c>
      <c r="AT17" t="e">
        <f ca="1"/>
        <v>#NAME?</v>
      </c>
    </row>
    <row r="18" spans="1:46" x14ac:dyDescent="0.3">
      <c r="A18" s="26">
        <f ca="1"/>
        <v>16</v>
      </c>
      <c r="B18" s="28" t="s">
        <v>625</v>
      </c>
      <c r="C18" s="28" t="s">
        <v>2461</v>
      </c>
      <c r="D18" s="31" t="str">
        <f ca="1"/>
        <v/>
      </c>
      <c r="F18">
        <f ca="1"/>
        <v>6</v>
      </c>
      <c r="G18">
        <f ca="1"/>
        <v>2</v>
      </c>
      <c r="H18" s="28" t="str">
        <f ca="1"/>
        <v>Capela@@@@@@@@@@@@@@@@@@@@@016</v>
      </c>
      <c r="I18" s="28" t="str">
        <f ca="1"/>
        <v>CA@016</v>
      </c>
      <c r="J18" s="28" t="e">
        <f ca="1"/>
        <v>#NAME?</v>
      </c>
      <c r="K18" s="28" t="e">
        <f ca="1"/>
        <v>#NAME?</v>
      </c>
      <c r="L18" s="28" t="e">
        <f ca="1"/>
        <v>#NAME?</v>
      </c>
      <c r="M18" s="28" t="e">
        <f ca="1"/>
        <v>#NAME?</v>
      </c>
      <c r="N18" t="e">
        <f ca="1"/>
        <v>#NAME?</v>
      </c>
      <c r="O18" t="e">
        <f ca="1"/>
        <v>#NAME?</v>
      </c>
      <c r="P18" t="str">
        <f ca="1"/>
        <v/>
      </c>
      <c r="Q18" t="str">
        <f ca="1"/>
        <v/>
      </c>
      <c r="R18">
        <f ca="1"/>
        <v>0</v>
      </c>
      <c r="S18" t="str">
        <f ca="1"/>
        <v>Capela</v>
      </c>
      <c r="T18" t="str">
        <f ca="1"/>
        <v>CA</v>
      </c>
      <c r="U18" t="e">
        <f ca="1"/>
        <v>#NAME?</v>
      </c>
      <c r="V18" t="e">
        <f ca="1"/>
        <v>#NAME?</v>
      </c>
      <c r="W18" t="e">
        <f ca="1"/>
        <v>#NAME?</v>
      </c>
      <c r="X18" t="e">
        <f ca="1"/>
        <v>#NAME?</v>
      </c>
      <c r="Y18" t="e" cm="1">
        <f t="array" aca="1" ref="Y18" ca="1">IF(W18&lt;&gt;"", SUMPRODUCT( (input!H:H=tipos_eqs!W18)*1 ), "")</f>
        <v>#NAME?</v>
      </c>
      <c r="Z18" t="e">
        <f ca="1"/>
        <v>#NAME?</v>
      </c>
      <c r="AA18" t="e">
        <f ca="1"/>
        <v>#NAME?</v>
      </c>
      <c r="AB18" t="e">
        <f ca="1"/>
        <v>#NAME?</v>
      </c>
      <c r="AC18" t="e">
        <f t="shared" ca="1" si="2"/>
        <v>#NAME?</v>
      </c>
      <c r="AD18" t="e">
        <f t="shared" ca="1" si="0"/>
        <v>#NAME?</v>
      </c>
      <c r="AE18" t="e">
        <f t="shared" ca="1" si="1"/>
        <v>#NAME?</v>
      </c>
      <c r="AF18" t="e">
        <f ca="1"/>
        <v>#NAME?</v>
      </c>
      <c r="AG18" t="e">
        <f ca="1"/>
        <v>#NAME?</v>
      </c>
      <c r="AH18" t="e">
        <f ca="1"/>
        <v>#NAME?</v>
      </c>
      <c r="AI18" t="e">
        <f ca="1"/>
        <v>#NAME?</v>
      </c>
      <c r="AJ18" t="e">
        <f ca="1"/>
        <v>#NAME?</v>
      </c>
      <c r="AK18" t="e">
        <f ca="1"/>
        <v>#NAME?</v>
      </c>
      <c r="AL18" t="e">
        <f ca="1"/>
        <v>#NAME?</v>
      </c>
      <c r="AM18" t="e">
        <f ca="1"/>
        <v>#NAME?</v>
      </c>
      <c r="AN18" t="e">
        <f ca="1"/>
        <v>#NAME?</v>
      </c>
      <c r="AO18" t="e">
        <f ca="1"/>
        <v>#NAME?</v>
      </c>
      <c r="AP18" t="e">
        <f ca="1"/>
        <v>#NAME?</v>
      </c>
      <c r="AQ18" t="e">
        <f ca="1"/>
        <v>#NAME?</v>
      </c>
      <c r="AR18" t="e">
        <f ca="1"/>
        <v>#NAME?</v>
      </c>
      <c r="AS18" t="e">
        <f ca="1"/>
        <v>#NAME?</v>
      </c>
      <c r="AT18" t="e">
        <f ca="1"/>
        <v>#NAME?</v>
      </c>
    </row>
    <row r="19" spans="1:46" x14ac:dyDescent="0.3">
      <c r="A19" s="26">
        <f ca="1"/>
        <v>17</v>
      </c>
      <c r="B19" s="28" t="s">
        <v>571</v>
      </c>
      <c r="C19" s="28" t="s">
        <v>2462</v>
      </c>
      <c r="D19" s="31" t="str">
        <f ca="1"/>
        <v/>
      </c>
      <c r="F19">
        <f ca="1"/>
        <v>23</v>
      </c>
      <c r="G19">
        <f ca="1"/>
        <v>2</v>
      </c>
      <c r="H19" s="28" t="str">
        <f ca="1"/>
        <v>Célula Flotação/Atrição@@@@017</v>
      </c>
      <c r="I19" s="28" t="str">
        <f ca="1"/>
        <v>CF@017</v>
      </c>
      <c r="J19" s="28" t="e">
        <f ca="1"/>
        <v>#NAME?</v>
      </c>
      <c r="K19" s="28" t="e">
        <f ca="1"/>
        <v>#NAME?</v>
      </c>
      <c r="L19" s="28" t="e">
        <f ca="1"/>
        <v>#NAME?</v>
      </c>
      <c r="M19" s="28" t="e">
        <f ca="1"/>
        <v>#NAME?</v>
      </c>
      <c r="N19" t="e">
        <f ca="1"/>
        <v>#NAME?</v>
      </c>
      <c r="O19" t="e">
        <f ca="1"/>
        <v>#NAME?</v>
      </c>
      <c r="P19" t="str">
        <f ca="1"/>
        <v/>
      </c>
      <c r="Q19" t="str">
        <f ca="1"/>
        <v/>
      </c>
      <c r="R19">
        <f ca="1"/>
        <v>0</v>
      </c>
      <c r="S19" t="str">
        <f ca="1"/>
        <v>Célula Flotação/Atrição</v>
      </c>
      <c r="T19" t="str">
        <f ca="1"/>
        <v>CF</v>
      </c>
      <c r="U19" t="e">
        <f ca="1"/>
        <v>#NAME?</v>
      </c>
      <c r="V19" t="e">
        <f ca="1"/>
        <v>#NAME?</v>
      </c>
      <c r="W19" t="e">
        <f ca="1"/>
        <v>#NAME?</v>
      </c>
      <c r="X19" t="e">
        <f ca="1"/>
        <v>#NAME?</v>
      </c>
      <c r="Y19" t="e" cm="1">
        <f t="array" aca="1" ref="Y19" ca="1">IF(W19&lt;&gt;"", SUMPRODUCT( (input!H:H=tipos_eqs!W19)*1 ), "")</f>
        <v>#NAME?</v>
      </c>
      <c r="Z19" t="e">
        <f ca="1"/>
        <v>#NAME?</v>
      </c>
      <c r="AA19" t="e">
        <f ca="1"/>
        <v>#NAME?</v>
      </c>
      <c r="AB19" t="e">
        <f ca="1"/>
        <v>#NAME?</v>
      </c>
      <c r="AC19" t="e">
        <f t="shared" ca="1" si="2"/>
        <v>#NAME?</v>
      </c>
      <c r="AD19" t="e">
        <f t="shared" ca="1" si="0"/>
        <v>#NAME?</v>
      </c>
      <c r="AE19" t="e">
        <f t="shared" ca="1" si="1"/>
        <v>#NAME?</v>
      </c>
      <c r="AF19" t="e">
        <f ca="1"/>
        <v>#NAME?</v>
      </c>
      <c r="AG19" t="e">
        <f ca="1"/>
        <v>#NAME?</v>
      </c>
      <c r="AH19" t="e">
        <f ca="1"/>
        <v>#NAME?</v>
      </c>
      <c r="AI19" t="e">
        <f ca="1"/>
        <v>#NAME?</v>
      </c>
      <c r="AJ19" t="e">
        <f ca="1"/>
        <v>#NAME?</v>
      </c>
      <c r="AK19" t="e">
        <f ca="1"/>
        <v>#NAME?</v>
      </c>
      <c r="AL19" t="e">
        <f ca="1"/>
        <v>#NAME?</v>
      </c>
      <c r="AM19" t="e">
        <f ca="1"/>
        <v>#NAME?</v>
      </c>
      <c r="AN19" t="e">
        <f ca="1"/>
        <v>#NAME?</v>
      </c>
      <c r="AO19" t="e">
        <f ca="1"/>
        <v>#NAME?</v>
      </c>
      <c r="AP19" t="e">
        <f ca="1"/>
        <v>#NAME?</v>
      </c>
      <c r="AQ19" t="e">
        <f ca="1"/>
        <v>#NAME?</v>
      </c>
      <c r="AR19" t="e">
        <f ca="1"/>
        <v>#NAME?</v>
      </c>
      <c r="AS19" t="e">
        <f ca="1"/>
        <v>#NAME?</v>
      </c>
      <c r="AT19" t="e">
        <f ca="1"/>
        <v>#NAME?</v>
      </c>
    </row>
    <row r="20" spans="1:46" x14ac:dyDescent="0.3">
      <c r="A20" s="26">
        <f ca="1"/>
        <v>18</v>
      </c>
      <c r="B20" s="28" t="s">
        <v>1408</v>
      </c>
      <c r="C20" s="28" t="s">
        <v>2463</v>
      </c>
      <c r="D20" s="31" t="str">
        <f ca="1"/>
        <v/>
      </c>
      <c r="F20">
        <f ca="1"/>
        <v>10</v>
      </c>
      <c r="G20">
        <f ca="1"/>
        <v>2</v>
      </c>
      <c r="H20" s="28" t="str">
        <f ca="1"/>
        <v>Centrifuga@@@@@@@@@@@@@@@@@018</v>
      </c>
      <c r="I20" s="28" t="str">
        <f ca="1"/>
        <v>CE@018</v>
      </c>
      <c r="J20" s="28" t="e">
        <f ca="1"/>
        <v>#NAME?</v>
      </c>
      <c r="K20" s="28" t="e">
        <f ca="1"/>
        <v>#NAME?</v>
      </c>
      <c r="L20" s="28" t="e">
        <f ca="1"/>
        <v>#NAME?</v>
      </c>
      <c r="M20" s="28" t="e">
        <f ca="1"/>
        <v>#NAME?</v>
      </c>
      <c r="N20" t="e">
        <f ca="1"/>
        <v>#NAME?</v>
      </c>
      <c r="O20" t="e">
        <f ca="1"/>
        <v>#NAME?</v>
      </c>
      <c r="P20" t="str">
        <f ca="1"/>
        <v/>
      </c>
      <c r="Q20" t="str">
        <f ca="1"/>
        <v/>
      </c>
      <c r="R20">
        <f ca="1"/>
        <v>0</v>
      </c>
      <c r="S20" t="str">
        <f ca="1"/>
        <v>Centrifuga</v>
      </c>
      <c r="T20" t="str">
        <f ca="1"/>
        <v>CE</v>
      </c>
      <c r="U20" t="e">
        <f ca="1"/>
        <v>#NAME?</v>
      </c>
      <c r="V20" t="e">
        <f ca="1"/>
        <v>#NAME?</v>
      </c>
      <c r="W20" t="e">
        <f ca="1"/>
        <v>#NAME?</v>
      </c>
      <c r="X20" t="e">
        <f ca="1"/>
        <v>#NAME?</v>
      </c>
      <c r="Y20" t="e" cm="1">
        <f t="array" aca="1" ref="Y20" ca="1">IF(W20&lt;&gt;"", SUMPRODUCT( (input!H:H=tipos_eqs!W20)*1 ), "")</f>
        <v>#NAME?</v>
      </c>
      <c r="Z20" t="e">
        <f ca="1"/>
        <v>#NAME?</v>
      </c>
      <c r="AA20" t="e">
        <f ca="1"/>
        <v>#NAME?</v>
      </c>
      <c r="AB20" t="e">
        <f ca="1"/>
        <v>#NAME?</v>
      </c>
      <c r="AC20" t="e">
        <f t="shared" ca="1" si="2"/>
        <v>#NAME?</v>
      </c>
      <c r="AD20" t="e">
        <f t="shared" ca="1" si="0"/>
        <v>#NAME?</v>
      </c>
      <c r="AE20" t="e">
        <f t="shared" ca="1" si="1"/>
        <v>#NAME?</v>
      </c>
      <c r="AF20" t="e">
        <f ca="1"/>
        <v>#NAME?</v>
      </c>
      <c r="AG20" t="e">
        <f ca="1"/>
        <v>#NAME?</v>
      </c>
      <c r="AH20" t="e">
        <f ca="1"/>
        <v>#NAME?</v>
      </c>
      <c r="AI20" t="e">
        <f ca="1"/>
        <v>#NAME?</v>
      </c>
      <c r="AJ20" t="e">
        <f ca="1"/>
        <v>#NAME?</v>
      </c>
      <c r="AK20" t="e">
        <f ca="1"/>
        <v>#NAME?</v>
      </c>
      <c r="AL20" t="e">
        <f ca="1"/>
        <v>#NAME?</v>
      </c>
      <c r="AM20" t="e">
        <f ca="1"/>
        <v>#NAME?</v>
      </c>
      <c r="AN20" t="e">
        <f ca="1"/>
        <v>#NAME?</v>
      </c>
      <c r="AO20" t="e">
        <f ca="1"/>
        <v>#NAME?</v>
      </c>
      <c r="AP20" t="e">
        <f ca="1"/>
        <v>#NAME?</v>
      </c>
      <c r="AQ20" t="e">
        <f ca="1"/>
        <v>#NAME?</v>
      </c>
      <c r="AR20" t="e">
        <f ca="1"/>
        <v>#NAME?</v>
      </c>
      <c r="AS20" t="e">
        <f ca="1"/>
        <v>#NAME?</v>
      </c>
      <c r="AT20" t="e">
        <f ca="1"/>
        <v>#NAME?</v>
      </c>
    </row>
    <row r="21" spans="1:46" x14ac:dyDescent="0.3">
      <c r="A21" s="26">
        <f ca="1"/>
        <v>19</v>
      </c>
      <c r="B21" s="28" t="s">
        <v>1371</v>
      </c>
      <c r="C21" s="28" t="s">
        <v>2464</v>
      </c>
      <c r="D21" s="31" t="str">
        <f ca="1"/>
        <v/>
      </c>
      <c r="F21">
        <f ca="1"/>
        <v>5</v>
      </c>
      <c r="G21">
        <f ca="1"/>
        <v>2</v>
      </c>
      <c r="H21" s="28" t="str">
        <f ca="1"/>
        <v>Chapa@@@@@@@@@@@@@@@@@@@@@@019</v>
      </c>
      <c r="I21" s="28" t="str">
        <f ca="1"/>
        <v>CH@019</v>
      </c>
      <c r="J21" s="28" t="e">
        <f ca="1"/>
        <v>#NAME?</v>
      </c>
      <c r="K21" s="28" t="e">
        <f ca="1"/>
        <v>#NAME?</v>
      </c>
      <c r="L21" s="28" t="e">
        <f ca="1"/>
        <v>#NAME?</v>
      </c>
      <c r="M21" s="28" t="e">
        <f ca="1"/>
        <v>#NAME?</v>
      </c>
      <c r="N21" t="e">
        <f ca="1"/>
        <v>#NAME?</v>
      </c>
      <c r="O21" t="e">
        <f ca="1"/>
        <v>#NAME?</v>
      </c>
      <c r="P21" t="str">
        <f ca="1"/>
        <v/>
      </c>
      <c r="Q21" t="str">
        <f ca="1"/>
        <v/>
      </c>
      <c r="R21">
        <f ca="1"/>
        <v>0</v>
      </c>
      <c r="S21" t="str">
        <f ca="1"/>
        <v>Chapa</v>
      </c>
      <c r="T21" t="str">
        <f ca="1"/>
        <v>CH</v>
      </c>
      <c r="U21" t="e">
        <f ca="1"/>
        <v>#NAME?</v>
      </c>
      <c r="V21" t="e">
        <f ca="1"/>
        <v>#NAME?</v>
      </c>
      <c r="W21" t="e">
        <f ca="1"/>
        <v>#NAME?</v>
      </c>
      <c r="X21" t="e">
        <f ca="1"/>
        <v>#NAME?</v>
      </c>
      <c r="Y21" t="e" cm="1">
        <f t="array" aca="1" ref="Y21" ca="1">IF(W21&lt;&gt;"", SUMPRODUCT( (input!H:H=tipos_eqs!W21)*1 ), "")</f>
        <v>#NAME?</v>
      </c>
      <c r="Z21" t="e">
        <f ca="1"/>
        <v>#NAME?</v>
      </c>
      <c r="AA21" t="e">
        <f ca="1"/>
        <v>#NAME?</v>
      </c>
      <c r="AB21" t="e">
        <f ca="1"/>
        <v>#NAME?</v>
      </c>
      <c r="AC21" t="e">
        <f t="shared" ca="1" si="2"/>
        <v>#NAME?</v>
      </c>
      <c r="AD21" t="e">
        <f t="shared" ca="1" si="0"/>
        <v>#NAME?</v>
      </c>
      <c r="AE21" t="e">
        <f t="shared" ca="1" si="1"/>
        <v>#NAME?</v>
      </c>
      <c r="AF21" t="e">
        <f ca="1"/>
        <v>#NAME?</v>
      </c>
      <c r="AG21" t="e">
        <f ca="1"/>
        <v>#NAME?</v>
      </c>
      <c r="AH21" t="e">
        <f ca="1"/>
        <v>#NAME?</v>
      </c>
      <c r="AI21" t="e">
        <f ca="1"/>
        <v>#NAME?</v>
      </c>
      <c r="AJ21" t="e">
        <f ca="1"/>
        <v>#NAME?</v>
      </c>
      <c r="AK21" t="e">
        <f ca="1"/>
        <v>#NAME?</v>
      </c>
      <c r="AL21" t="e">
        <f ca="1"/>
        <v>#NAME?</v>
      </c>
      <c r="AM21" t="e">
        <f ca="1"/>
        <v>#NAME?</v>
      </c>
      <c r="AN21" t="e">
        <f ca="1"/>
        <v>#NAME?</v>
      </c>
      <c r="AO21" t="e">
        <f ca="1"/>
        <v>#NAME?</v>
      </c>
      <c r="AP21" t="e">
        <f ca="1"/>
        <v>#NAME?</v>
      </c>
      <c r="AQ21" t="e">
        <f ca="1"/>
        <v>#NAME?</v>
      </c>
      <c r="AR21" t="e">
        <f ca="1"/>
        <v>#NAME?</v>
      </c>
      <c r="AS21" t="e">
        <f ca="1"/>
        <v>#NAME?</v>
      </c>
      <c r="AT21" t="e">
        <f ca="1"/>
        <v>#NAME?</v>
      </c>
    </row>
    <row r="22" spans="1:46" x14ac:dyDescent="0.3">
      <c r="A22" s="26">
        <f ca="1"/>
        <v>20</v>
      </c>
      <c r="B22" s="29" t="s">
        <v>2465</v>
      </c>
      <c r="C22" s="29" t="s">
        <v>2466</v>
      </c>
      <c r="D22" s="31" t="str">
        <f ca="1"/>
        <v/>
      </c>
      <c r="F22">
        <f ca="1"/>
        <v>6</v>
      </c>
      <c r="G22">
        <f ca="1"/>
        <v>2</v>
      </c>
      <c r="H22" s="28" t="str">
        <f ca="1"/>
        <v>teste3@@@@@@@@@@@@@@@@@@@@@020</v>
      </c>
      <c r="I22" s="28" t="str">
        <f ca="1"/>
        <v>ZX@020</v>
      </c>
      <c r="J22" s="28" t="e">
        <f ca="1"/>
        <v>#NAME?</v>
      </c>
      <c r="K22" s="28" t="e">
        <f ca="1"/>
        <v>#NAME?</v>
      </c>
      <c r="L22" s="28" t="e">
        <f ca="1"/>
        <v>#NAME?</v>
      </c>
      <c r="M22" s="28" t="e">
        <f ca="1"/>
        <v>#NAME?</v>
      </c>
      <c r="N22" t="e">
        <f ca="1"/>
        <v>#NAME?</v>
      </c>
      <c r="O22" t="e">
        <f ca="1"/>
        <v>#NAME?</v>
      </c>
      <c r="P22" t="str">
        <f ca="1"/>
        <v/>
      </c>
      <c r="Q22" t="str">
        <f ca="1"/>
        <v/>
      </c>
      <c r="R22">
        <f ca="1"/>
        <v>0</v>
      </c>
      <c r="S22" t="str">
        <f ca="1"/>
        <v>teste3</v>
      </c>
      <c r="T22" t="str">
        <f ca="1"/>
        <v>ZX</v>
      </c>
      <c r="U22" t="e">
        <f ca="1"/>
        <v>#NAME?</v>
      </c>
      <c r="V22" t="e">
        <f ca="1"/>
        <v>#NAME?</v>
      </c>
      <c r="W22" t="e">
        <f ca="1"/>
        <v>#NAME?</v>
      </c>
      <c r="X22" t="e">
        <f ca="1"/>
        <v>#NAME?</v>
      </c>
      <c r="Y22" t="e" cm="1">
        <f t="array" aca="1" ref="Y22" ca="1">IF(W22&lt;&gt;"", SUMPRODUCT( (input!H:H=tipos_eqs!W22)*1 ), "")</f>
        <v>#NAME?</v>
      </c>
      <c r="Z22" t="e">
        <f ca="1"/>
        <v>#NAME?</v>
      </c>
      <c r="AA22" t="e">
        <f ca="1"/>
        <v>#NAME?</v>
      </c>
      <c r="AB22" t="e">
        <f ca="1"/>
        <v>#NAME?</v>
      </c>
      <c r="AC22" t="e">
        <f t="shared" ca="1" si="2"/>
        <v>#NAME?</v>
      </c>
      <c r="AD22" t="e">
        <f t="shared" ca="1" si="0"/>
        <v>#NAME?</v>
      </c>
      <c r="AE22" t="e">
        <f t="shared" ca="1" si="1"/>
        <v>#NAME?</v>
      </c>
      <c r="AF22" t="e">
        <f ca="1"/>
        <v>#NAME?</v>
      </c>
      <c r="AG22" t="e">
        <f ca="1"/>
        <v>#NAME?</v>
      </c>
      <c r="AH22" t="e">
        <f ca="1"/>
        <v>#NAME?</v>
      </c>
      <c r="AI22" t="e">
        <f ca="1"/>
        <v>#NAME?</v>
      </c>
      <c r="AJ22" t="e">
        <f ca="1"/>
        <v>#NAME?</v>
      </c>
      <c r="AK22" t="e">
        <f ca="1"/>
        <v>#NAME?</v>
      </c>
      <c r="AL22" t="e">
        <f ca="1"/>
        <v>#NAME?</v>
      </c>
      <c r="AM22" t="e">
        <f ca="1"/>
        <v>#NAME?</v>
      </c>
      <c r="AN22" t="e">
        <f ca="1"/>
        <v>#NAME?</v>
      </c>
      <c r="AO22" t="e">
        <f ca="1"/>
        <v>#NAME?</v>
      </c>
      <c r="AP22" t="e">
        <f ca="1"/>
        <v>#NAME?</v>
      </c>
      <c r="AQ22" t="e">
        <f ca="1"/>
        <v>#NAME?</v>
      </c>
      <c r="AR22" t="e">
        <f ca="1"/>
        <v>#NAME?</v>
      </c>
      <c r="AS22" t="e">
        <f ca="1"/>
        <v>#NAME?</v>
      </c>
      <c r="AT22" t="e">
        <f ca="1"/>
        <v>#NAME?</v>
      </c>
    </row>
    <row r="23" spans="1:46" x14ac:dyDescent="0.3">
      <c r="A23" s="26">
        <f ca="1"/>
        <v>21</v>
      </c>
      <c r="B23" s="28" t="s">
        <v>614</v>
      </c>
      <c r="C23" s="28" t="s">
        <v>2467</v>
      </c>
      <c r="D23" s="31" t="str">
        <f ca="1"/>
        <v/>
      </c>
      <c r="F23">
        <f ca="1"/>
        <v>7</v>
      </c>
      <c r="G23">
        <f ca="1"/>
        <v>2</v>
      </c>
      <c r="H23" s="28" t="str">
        <f ca="1"/>
        <v>Ciclone@@@@@@@@@@@@@@@@@@@@021</v>
      </c>
      <c r="I23" s="28" t="str">
        <f ca="1"/>
        <v>CC@021</v>
      </c>
      <c r="J23" s="28" t="e">
        <f ca="1"/>
        <v>#NAME?</v>
      </c>
      <c r="K23" s="28" t="e">
        <f ca="1"/>
        <v>#NAME?</v>
      </c>
      <c r="L23" s="28" t="e">
        <f ca="1"/>
        <v>#NAME?</v>
      </c>
      <c r="M23" s="28" t="e">
        <f ca="1"/>
        <v>#NAME?</v>
      </c>
      <c r="N23" t="e">
        <f ca="1"/>
        <v>#NAME?</v>
      </c>
      <c r="O23" t="e">
        <f ca="1"/>
        <v>#NAME?</v>
      </c>
      <c r="P23" t="str">
        <f ca="1"/>
        <v/>
      </c>
      <c r="Q23" t="str">
        <f ca="1"/>
        <v/>
      </c>
      <c r="R23">
        <f ca="1"/>
        <v>0</v>
      </c>
      <c r="S23" t="str">
        <f ca="1"/>
        <v>Ciclone</v>
      </c>
      <c r="T23" t="str">
        <f ca="1"/>
        <v>CC</v>
      </c>
      <c r="U23" t="e">
        <f ca="1"/>
        <v>#NAME?</v>
      </c>
      <c r="V23" t="e">
        <f ca="1"/>
        <v>#NAME?</v>
      </c>
      <c r="W23" t="e">
        <f ca="1"/>
        <v>#NAME?</v>
      </c>
      <c r="X23" t="e">
        <f ca="1"/>
        <v>#NAME?</v>
      </c>
      <c r="Y23" t="e" cm="1">
        <f t="array" aca="1" ref="Y23" ca="1">IF(W23&lt;&gt;"", SUMPRODUCT( (input!H:H=tipos_eqs!W23)*1 ), "")</f>
        <v>#NAME?</v>
      </c>
      <c r="Z23" t="e">
        <f ca="1"/>
        <v>#NAME?</v>
      </c>
      <c r="AA23" t="e">
        <f ca="1"/>
        <v>#NAME?</v>
      </c>
      <c r="AB23" t="e">
        <f ca="1"/>
        <v>#NAME?</v>
      </c>
      <c r="AC23" t="e">
        <f t="shared" ca="1" si="2"/>
        <v>#NAME?</v>
      </c>
      <c r="AD23" t="e">
        <f t="shared" ca="1" si="0"/>
        <v>#NAME?</v>
      </c>
      <c r="AE23" t="e">
        <f t="shared" ca="1" si="1"/>
        <v>#NAME?</v>
      </c>
      <c r="AF23" t="e">
        <f ca="1"/>
        <v>#NAME?</v>
      </c>
      <c r="AG23" t="e">
        <f ca="1"/>
        <v>#NAME?</v>
      </c>
      <c r="AH23" t="e">
        <f ca="1"/>
        <v>#NAME?</v>
      </c>
      <c r="AI23" t="e">
        <f ca="1"/>
        <v>#NAME?</v>
      </c>
      <c r="AJ23" t="e">
        <f ca="1"/>
        <v>#NAME?</v>
      </c>
      <c r="AK23" t="e">
        <f ca="1"/>
        <v>#NAME?</v>
      </c>
      <c r="AL23" t="e">
        <f ca="1"/>
        <v>#NAME?</v>
      </c>
      <c r="AM23" t="e">
        <f ca="1"/>
        <v>#NAME?</v>
      </c>
      <c r="AN23" t="e">
        <f ca="1"/>
        <v>#NAME?</v>
      </c>
      <c r="AO23" t="e">
        <f ca="1"/>
        <v>#NAME?</v>
      </c>
      <c r="AP23" t="e">
        <f ca="1"/>
        <v>#NAME?</v>
      </c>
      <c r="AQ23" t="e">
        <f ca="1"/>
        <v>#NAME?</v>
      </c>
      <c r="AR23" t="e">
        <f ca="1"/>
        <v>#NAME?</v>
      </c>
      <c r="AS23" t="e">
        <f ca="1"/>
        <v>#NAME?</v>
      </c>
      <c r="AT23" t="e">
        <f ca="1"/>
        <v>#NAME?</v>
      </c>
    </row>
    <row r="24" spans="1:46" x14ac:dyDescent="0.3">
      <c r="A24" s="26">
        <f ca="1"/>
        <v>22</v>
      </c>
      <c r="B24" s="28" t="s">
        <v>561</v>
      </c>
      <c r="C24" s="28" t="s">
        <v>2468</v>
      </c>
      <c r="D24" s="31" t="str">
        <f ca="1"/>
        <v/>
      </c>
      <c r="F24">
        <f ca="1"/>
        <v>26</v>
      </c>
      <c r="G24">
        <f ca="1"/>
        <v>2</v>
      </c>
      <c r="H24" s="28" t="str">
        <f ca="1"/>
        <v>Classificador Gravimetrico@022</v>
      </c>
      <c r="I24" s="28" t="str">
        <f ca="1"/>
        <v>CG@022</v>
      </c>
      <c r="J24" s="28" t="e">
        <f ca="1"/>
        <v>#NAME?</v>
      </c>
      <c r="K24" s="28" t="e">
        <f ca="1"/>
        <v>#NAME?</v>
      </c>
      <c r="L24" s="28" t="e">
        <f ca="1"/>
        <v>#NAME?</v>
      </c>
      <c r="M24" s="28" t="e">
        <f ca="1"/>
        <v>#NAME?</v>
      </c>
      <c r="N24" t="e">
        <f ca="1"/>
        <v>#NAME?</v>
      </c>
      <c r="O24" t="e">
        <f ca="1"/>
        <v>#NAME?</v>
      </c>
      <c r="P24" t="str">
        <f ca="1"/>
        <v/>
      </c>
      <c r="Q24" t="str">
        <f ca="1"/>
        <v/>
      </c>
      <c r="R24">
        <f ca="1"/>
        <v>0</v>
      </c>
      <c r="S24" t="str">
        <f ca="1"/>
        <v>Classificador Gravimetrico</v>
      </c>
      <c r="T24" t="str">
        <f ca="1"/>
        <v>CG</v>
      </c>
      <c r="U24" t="e">
        <f ca="1"/>
        <v>#NAME?</v>
      </c>
      <c r="V24" t="e">
        <f ca="1"/>
        <v>#NAME?</v>
      </c>
      <c r="W24" t="e">
        <f ca="1"/>
        <v>#NAME?</v>
      </c>
      <c r="X24" t="e">
        <f ca="1"/>
        <v>#NAME?</v>
      </c>
      <c r="Y24" t="e" cm="1">
        <f t="array" aca="1" ref="Y24" ca="1">IF(W24&lt;&gt;"", SUMPRODUCT( (input!H:H=tipos_eqs!W24)*1 ), "")</f>
        <v>#NAME?</v>
      </c>
      <c r="Z24" t="e">
        <f ca="1"/>
        <v>#NAME?</v>
      </c>
      <c r="AA24" t="e">
        <f ca="1"/>
        <v>#NAME?</v>
      </c>
      <c r="AB24" t="e">
        <f ca="1"/>
        <v>#NAME?</v>
      </c>
      <c r="AC24" t="e">
        <f t="shared" ca="1" si="2"/>
        <v>#NAME?</v>
      </c>
      <c r="AD24" t="e">
        <f t="shared" ca="1" si="0"/>
        <v>#NAME?</v>
      </c>
      <c r="AE24" t="e">
        <f t="shared" ca="1" si="1"/>
        <v>#NAME?</v>
      </c>
      <c r="AF24" t="e">
        <f ca="1"/>
        <v>#NAME?</v>
      </c>
      <c r="AG24" t="e">
        <f ca="1"/>
        <v>#NAME?</v>
      </c>
      <c r="AH24" t="e">
        <f ca="1"/>
        <v>#NAME?</v>
      </c>
      <c r="AI24" t="e">
        <f ca="1"/>
        <v>#NAME?</v>
      </c>
      <c r="AJ24" t="e">
        <f ca="1"/>
        <v>#NAME?</v>
      </c>
      <c r="AK24" t="e">
        <f ca="1"/>
        <v>#NAME?</v>
      </c>
      <c r="AL24" t="e">
        <f ca="1"/>
        <v>#NAME?</v>
      </c>
      <c r="AM24" t="e">
        <f ca="1"/>
        <v>#NAME?</v>
      </c>
      <c r="AN24" t="e">
        <f ca="1"/>
        <v>#NAME?</v>
      </c>
      <c r="AO24" t="e">
        <f ca="1"/>
        <v>#NAME?</v>
      </c>
      <c r="AP24" t="e">
        <f ca="1"/>
        <v>#NAME?</v>
      </c>
      <c r="AQ24" t="e">
        <f ca="1"/>
        <v>#NAME?</v>
      </c>
      <c r="AR24" t="e">
        <f ca="1"/>
        <v>#NAME?</v>
      </c>
      <c r="AS24" t="e">
        <f ca="1"/>
        <v>#NAME?</v>
      </c>
      <c r="AT24" t="e">
        <f ca="1"/>
        <v>#NAME?</v>
      </c>
    </row>
    <row r="25" spans="1:46" x14ac:dyDescent="0.3">
      <c r="A25" s="26">
        <f ca="1"/>
        <v>23</v>
      </c>
      <c r="B25" s="28" t="s">
        <v>547</v>
      </c>
      <c r="C25" s="28" t="s">
        <v>2469</v>
      </c>
      <c r="D25" s="31" t="str">
        <f ca="1"/>
        <v/>
      </c>
      <c r="F25">
        <f ca="1"/>
        <v>10</v>
      </c>
      <c r="G25">
        <f ca="1"/>
        <v>2</v>
      </c>
      <c r="H25" s="28" t="str">
        <f ca="1"/>
        <v>Compressor@@@@@@@@@@@@@@@@@023</v>
      </c>
      <c r="I25" s="28" t="str">
        <f ca="1"/>
        <v>CP@023</v>
      </c>
      <c r="J25" s="28" t="e">
        <f ca="1"/>
        <v>#NAME?</v>
      </c>
      <c r="K25" s="28" t="e">
        <f ca="1"/>
        <v>#NAME?</v>
      </c>
      <c r="L25" s="28" t="e">
        <f ca="1"/>
        <v>#NAME?</v>
      </c>
      <c r="M25" s="28" t="e">
        <f ca="1"/>
        <v>#NAME?</v>
      </c>
      <c r="N25" t="e">
        <f ca="1"/>
        <v>#NAME?</v>
      </c>
      <c r="O25" t="e">
        <f ca="1"/>
        <v>#NAME?</v>
      </c>
      <c r="P25" t="str">
        <f ca="1"/>
        <v/>
      </c>
      <c r="Q25" t="str">
        <f ca="1"/>
        <v/>
      </c>
      <c r="R25">
        <f ca="1"/>
        <v>0</v>
      </c>
      <c r="S25" t="str">
        <f ca="1"/>
        <v>Compressor</v>
      </c>
      <c r="T25" t="str">
        <f ca="1"/>
        <v>CP</v>
      </c>
      <c r="U25" t="e">
        <f ca="1"/>
        <v>#NAME?</v>
      </c>
      <c r="V25" t="e">
        <f ca="1"/>
        <v>#NAME?</v>
      </c>
      <c r="W25" t="e">
        <f ca="1"/>
        <v>#NAME?</v>
      </c>
      <c r="X25" t="e">
        <f ca="1"/>
        <v>#NAME?</v>
      </c>
      <c r="Y25" t="e" cm="1">
        <f t="array" aca="1" ref="Y25" ca="1">IF(W25&lt;&gt;"", SUMPRODUCT( (input!H:H=tipos_eqs!W25)*1 ), "")</f>
        <v>#NAME?</v>
      </c>
      <c r="Z25" t="e">
        <f ca="1"/>
        <v>#NAME?</v>
      </c>
      <c r="AA25" t="e">
        <f ca="1"/>
        <v>#NAME?</v>
      </c>
      <c r="AB25" t="e">
        <f ca="1"/>
        <v>#NAME?</v>
      </c>
      <c r="AC25" t="e">
        <f t="shared" ca="1" si="2"/>
        <v>#NAME?</v>
      </c>
      <c r="AD25" t="e">
        <f t="shared" ca="1" si="0"/>
        <v>#NAME?</v>
      </c>
      <c r="AE25" t="e">
        <f t="shared" ca="1" si="1"/>
        <v>#NAME?</v>
      </c>
      <c r="AF25" t="e">
        <f ca="1"/>
        <v>#NAME?</v>
      </c>
      <c r="AG25" t="e">
        <f ca="1"/>
        <v>#NAME?</v>
      </c>
      <c r="AH25" t="e">
        <f ca="1"/>
        <v>#NAME?</v>
      </c>
      <c r="AI25" t="e">
        <f ca="1"/>
        <v>#NAME?</v>
      </c>
      <c r="AJ25" t="e">
        <f ca="1"/>
        <v>#NAME?</v>
      </c>
      <c r="AK25" t="e">
        <f ca="1"/>
        <v>#NAME?</v>
      </c>
      <c r="AL25" t="e">
        <f ca="1"/>
        <v>#NAME?</v>
      </c>
      <c r="AM25" t="e">
        <f ca="1"/>
        <v>#NAME?</v>
      </c>
      <c r="AN25" t="e">
        <f ca="1"/>
        <v>#NAME?</v>
      </c>
      <c r="AO25" t="e">
        <f ca="1"/>
        <v>#NAME?</v>
      </c>
      <c r="AP25" t="e">
        <f ca="1"/>
        <v>#NAME?</v>
      </c>
      <c r="AQ25" t="e">
        <f ca="1"/>
        <v>#NAME?</v>
      </c>
      <c r="AR25" t="e">
        <f ca="1"/>
        <v>#NAME?</v>
      </c>
      <c r="AS25" t="e">
        <f ca="1"/>
        <v>#NAME?</v>
      </c>
      <c r="AT25" t="e">
        <f ca="1"/>
        <v>#NAME?</v>
      </c>
    </row>
    <row r="26" spans="1:46" x14ac:dyDescent="0.3">
      <c r="A26" s="26">
        <f ca="1"/>
        <v>24</v>
      </c>
      <c r="B26" s="29" t="s">
        <v>2465</v>
      </c>
      <c r="C26" s="29" t="s">
        <v>2470</v>
      </c>
      <c r="D26" s="31" t="str">
        <f ca="1"/>
        <v/>
      </c>
      <c r="F26">
        <f ca="1"/>
        <v>6</v>
      </c>
      <c r="G26">
        <f ca="1"/>
        <v>2</v>
      </c>
      <c r="H26" s="28" t="str">
        <f ca="1"/>
        <v>teste3@@@@@@@@@@@@@@@@@@@@@024</v>
      </c>
      <c r="I26" s="28" t="str">
        <f ca="1"/>
        <v>ZW@024</v>
      </c>
      <c r="J26" s="28" t="e">
        <f ca="1"/>
        <v>#NAME?</v>
      </c>
      <c r="K26" s="28" t="e">
        <f ca="1"/>
        <v>#NAME?</v>
      </c>
      <c r="L26" s="28" t="e">
        <f ca="1"/>
        <v>#NAME?</v>
      </c>
      <c r="M26" s="28" t="e">
        <f ca="1"/>
        <v>#NAME?</v>
      </c>
      <c r="N26" t="e">
        <f ca="1"/>
        <v>#NAME?</v>
      </c>
      <c r="O26" t="e">
        <f ca="1"/>
        <v>#NAME?</v>
      </c>
      <c r="P26" t="str">
        <f ca="1"/>
        <v/>
      </c>
      <c r="Q26" t="str">
        <f ca="1"/>
        <v/>
      </c>
      <c r="R26">
        <f ca="1"/>
        <v>0</v>
      </c>
      <c r="S26" t="str">
        <f ca="1"/>
        <v>teste3</v>
      </c>
      <c r="T26" t="str">
        <f ca="1"/>
        <v>ZW</v>
      </c>
      <c r="U26" t="e">
        <f ca="1"/>
        <v>#NAME?</v>
      </c>
      <c r="V26" t="e">
        <f ca="1"/>
        <v>#NAME?</v>
      </c>
      <c r="W26" t="e">
        <f ca="1"/>
        <v>#NAME?</v>
      </c>
      <c r="X26" t="e">
        <f ca="1"/>
        <v>#NAME?</v>
      </c>
      <c r="Y26" t="e" cm="1">
        <f t="array" aca="1" ref="Y26" ca="1">IF(W26&lt;&gt;"", SUMPRODUCT( (input!H:H=tipos_eqs!W26)*1 ), "")</f>
        <v>#NAME?</v>
      </c>
      <c r="Z26" t="e">
        <f ca="1"/>
        <v>#NAME?</v>
      </c>
      <c r="AA26" t="e">
        <f ca="1"/>
        <v>#NAME?</v>
      </c>
      <c r="AB26" t="e">
        <f ca="1"/>
        <v>#NAME?</v>
      </c>
      <c r="AC26" t="e">
        <f t="shared" ca="1" si="2"/>
        <v>#NAME?</v>
      </c>
      <c r="AD26" t="e">
        <f t="shared" ca="1" si="0"/>
        <v>#NAME?</v>
      </c>
      <c r="AE26" t="e">
        <f t="shared" ca="1" si="1"/>
        <v>#NAME?</v>
      </c>
      <c r="AF26" t="e">
        <f ca="1"/>
        <v>#NAME?</v>
      </c>
      <c r="AG26" t="e">
        <f ca="1"/>
        <v>#NAME?</v>
      </c>
      <c r="AH26" t="e">
        <f ca="1"/>
        <v>#NAME?</v>
      </c>
      <c r="AI26" t="e">
        <f ca="1"/>
        <v>#NAME?</v>
      </c>
      <c r="AJ26" t="e">
        <f ca="1"/>
        <v>#NAME?</v>
      </c>
      <c r="AK26" t="e">
        <f ca="1"/>
        <v>#NAME?</v>
      </c>
      <c r="AL26" t="e">
        <f ca="1"/>
        <v>#NAME?</v>
      </c>
      <c r="AM26" t="e">
        <f ca="1"/>
        <v>#NAME?</v>
      </c>
      <c r="AN26" t="e">
        <f ca="1"/>
        <v>#NAME?</v>
      </c>
      <c r="AO26" t="e">
        <f ca="1"/>
        <v>#NAME?</v>
      </c>
      <c r="AP26" t="e">
        <f ca="1"/>
        <v>#NAME?</v>
      </c>
      <c r="AQ26" t="e">
        <f ca="1"/>
        <v>#NAME?</v>
      </c>
      <c r="AR26" t="e">
        <f ca="1"/>
        <v>#NAME?</v>
      </c>
      <c r="AS26" t="e">
        <f ca="1"/>
        <v>#NAME?</v>
      </c>
      <c r="AT26" t="e">
        <f ca="1"/>
        <v>#NAME?</v>
      </c>
    </row>
    <row r="27" spans="1:46" x14ac:dyDescent="0.3">
      <c r="A27" s="26">
        <f ca="1"/>
        <v>25</v>
      </c>
      <c r="B27" s="28" t="s">
        <v>56</v>
      </c>
      <c r="C27" s="28" t="s">
        <v>2471</v>
      </c>
      <c r="D27" s="31" t="str">
        <f ca="1"/>
        <v/>
      </c>
      <c r="F27">
        <f ca="1"/>
        <v>10</v>
      </c>
      <c r="G27">
        <f ca="1"/>
        <v>2</v>
      </c>
      <c r="H27" s="28" t="str">
        <f ca="1"/>
        <v>Cortadeira@@@@@@@@@@@@@@@@@025</v>
      </c>
      <c r="I27" s="28" t="str">
        <f ca="1"/>
        <v>CT@025</v>
      </c>
      <c r="J27" s="28" t="e">
        <f ca="1"/>
        <v>#NAME?</v>
      </c>
      <c r="K27" s="28" t="e">
        <f ca="1"/>
        <v>#NAME?</v>
      </c>
      <c r="L27" s="28" t="e">
        <f ca="1"/>
        <v>#NAME?</v>
      </c>
      <c r="M27" s="28" t="e">
        <f ca="1"/>
        <v>#NAME?</v>
      </c>
      <c r="N27" t="e">
        <f ca="1"/>
        <v>#NAME?</v>
      </c>
      <c r="O27" t="e">
        <f ca="1"/>
        <v>#NAME?</v>
      </c>
      <c r="P27" t="str">
        <f ca="1"/>
        <v/>
      </c>
      <c r="Q27" t="str">
        <f ca="1"/>
        <v/>
      </c>
      <c r="R27">
        <f ca="1"/>
        <v>0</v>
      </c>
      <c r="S27" t="str">
        <f ca="1"/>
        <v>Cortadeira</v>
      </c>
      <c r="T27" t="str">
        <f ca="1"/>
        <v>CT</v>
      </c>
      <c r="U27" t="e">
        <f ca="1"/>
        <v>#NAME?</v>
      </c>
      <c r="V27" t="e">
        <f ca="1"/>
        <v>#NAME?</v>
      </c>
      <c r="W27" t="e">
        <f ca="1"/>
        <v>#NAME?</v>
      </c>
      <c r="X27" t="e">
        <f ca="1"/>
        <v>#NAME?</v>
      </c>
      <c r="Y27" t="e" cm="1">
        <f t="array" aca="1" ref="Y27" ca="1">IF(W27&lt;&gt;"", SUMPRODUCT( (input!H:H=tipos_eqs!W27)*1 ), "")</f>
        <v>#NAME?</v>
      </c>
      <c r="Z27" t="e">
        <f ca="1"/>
        <v>#NAME?</v>
      </c>
      <c r="AA27" t="e">
        <f ca="1"/>
        <v>#NAME?</v>
      </c>
      <c r="AB27" t="e">
        <f ca="1"/>
        <v>#NAME?</v>
      </c>
      <c r="AC27" t="e">
        <f t="shared" ca="1" si="2"/>
        <v>#NAME?</v>
      </c>
      <c r="AD27" t="e">
        <f t="shared" ca="1" si="0"/>
        <v>#NAME?</v>
      </c>
      <c r="AE27" t="e">
        <f t="shared" ca="1" si="1"/>
        <v>#NAME?</v>
      </c>
      <c r="AF27" t="e">
        <f ca="1"/>
        <v>#NAME?</v>
      </c>
      <c r="AG27" t="e">
        <f ca="1"/>
        <v>#NAME?</v>
      </c>
      <c r="AH27" t="e">
        <f ca="1"/>
        <v>#NAME?</v>
      </c>
      <c r="AI27" t="e">
        <f ca="1"/>
        <v>#NAME?</v>
      </c>
      <c r="AJ27" t="e">
        <f ca="1"/>
        <v>#NAME?</v>
      </c>
      <c r="AK27" t="e">
        <f ca="1"/>
        <v>#NAME?</v>
      </c>
      <c r="AL27" t="e">
        <f ca="1"/>
        <v>#NAME?</v>
      </c>
      <c r="AM27" t="e">
        <f ca="1"/>
        <v>#NAME?</v>
      </c>
      <c r="AN27" t="e">
        <f ca="1"/>
        <v>#NAME?</v>
      </c>
      <c r="AO27" t="e">
        <f ca="1"/>
        <v>#NAME?</v>
      </c>
      <c r="AP27" t="e">
        <f ca="1"/>
        <v>#NAME?</v>
      </c>
      <c r="AQ27" t="e">
        <f ca="1"/>
        <v>#NAME?</v>
      </c>
      <c r="AR27" t="e">
        <f ca="1"/>
        <v>#NAME?</v>
      </c>
      <c r="AS27" t="e">
        <f ca="1"/>
        <v>#NAME?</v>
      </c>
      <c r="AT27" t="e">
        <f ca="1"/>
        <v>#NAME?</v>
      </c>
    </row>
    <row r="28" spans="1:46" x14ac:dyDescent="0.3">
      <c r="A28" s="26">
        <f ca="1"/>
        <v>26</v>
      </c>
      <c r="B28" s="28" t="s">
        <v>1068</v>
      </c>
      <c r="C28" s="28" t="s">
        <v>2472</v>
      </c>
      <c r="D28" s="31" t="str">
        <f ca="1"/>
        <v/>
      </c>
      <c r="F28">
        <f ca="1"/>
        <v>12</v>
      </c>
      <c r="G28">
        <f ca="1"/>
        <v>2</v>
      </c>
      <c r="H28" s="28" t="str">
        <f ca="1"/>
        <v>Cromatógrafo@@@@@@@@@@@@@@@026</v>
      </c>
      <c r="I28" s="28" t="str">
        <f ca="1"/>
        <v>CR@026</v>
      </c>
      <c r="J28" s="28" t="e">
        <f ca="1"/>
        <v>#NAME?</v>
      </c>
      <c r="K28" s="28" t="e">
        <f ca="1"/>
        <v>#NAME?</v>
      </c>
      <c r="L28" s="28" t="e">
        <f ca="1"/>
        <v>#NAME?</v>
      </c>
      <c r="M28" s="28" t="e">
        <f ca="1"/>
        <v>#NAME?</v>
      </c>
      <c r="N28" t="e">
        <f ca="1"/>
        <v>#NAME?</v>
      </c>
      <c r="O28" t="e">
        <f ca="1"/>
        <v>#NAME?</v>
      </c>
      <c r="P28" t="str">
        <f ca="1"/>
        <v/>
      </c>
      <c r="Q28" t="str">
        <f ca="1"/>
        <v/>
      </c>
      <c r="R28">
        <f ca="1"/>
        <v>0</v>
      </c>
      <c r="S28" t="str">
        <f ca="1"/>
        <v>Cromatógrafo</v>
      </c>
      <c r="T28" t="str">
        <f ca="1"/>
        <v>CR</v>
      </c>
      <c r="U28" t="e">
        <f ca="1"/>
        <v>#NAME?</v>
      </c>
      <c r="V28" t="e">
        <f ca="1"/>
        <v>#NAME?</v>
      </c>
      <c r="W28" t="e">
        <f ca="1"/>
        <v>#NAME?</v>
      </c>
      <c r="X28" t="e">
        <f ca="1"/>
        <v>#NAME?</v>
      </c>
      <c r="Y28" t="e" cm="1">
        <f t="array" aca="1" ref="Y28" ca="1">IF(W28&lt;&gt;"", SUMPRODUCT( (input!H:H=tipos_eqs!W28)*1 ), "")</f>
        <v>#NAME?</v>
      </c>
      <c r="Z28" t="e">
        <f ca="1"/>
        <v>#NAME?</v>
      </c>
      <c r="AA28" t="e">
        <f ca="1"/>
        <v>#NAME?</v>
      </c>
      <c r="AB28" t="e">
        <f ca="1"/>
        <v>#NAME?</v>
      </c>
      <c r="AC28" t="e">
        <f t="shared" ca="1" si="2"/>
        <v>#NAME?</v>
      </c>
      <c r="AD28" t="e">
        <f t="shared" ca="1" si="0"/>
        <v>#NAME?</v>
      </c>
      <c r="AE28" t="e">
        <f t="shared" ca="1" si="1"/>
        <v>#NAME?</v>
      </c>
      <c r="AF28" t="e">
        <f ca="1"/>
        <v>#NAME?</v>
      </c>
      <c r="AG28" t="e">
        <f ca="1"/>
        <v>#NAME?</v>
      </c>
      <c r="AH28" t="e">
        <f ca="1"/>
        <v>#NAME?</v>
      </c>
      <c r="AI28" t="e">
        <f ca="1"/>
        <v>#NAME?</v>
      </c>
      <c r="AJ28" t="e">
        <f ca="1"/>
        <v>#NAME?</v>
      </c>
      <c r="AK28" t="e">
        <f ca="1"/>
        <v>#NAME?</v>
      </c>
      <c r="AL28" t="e">
        <f ca="1"/>
        <v>#NAME?</v>
      </c>
      <c r="AM28" t="e">
        <f ca="1"/>
        <v>#NAME?</v>
      </c>
      <c r="AN28" t="e">
        <f ca="1"/>
        <v>#NAME?</v>
      </c>
      <c r="AO28" t="e">
        <f ca="1"/>
        <v>#NAME?</v>
      </c>
      <c r="AP28" t="e">
        <f ca="1"/>
        <v>#NAME?</v>
      </c>
      <c r="AQ28" t="e">
        <f ca="1"/>
        <v>#NAME?</v>
      </c>
      <c r="AR28" t="e">
        <f ca="1"/>
        <v>#NAME?</v>
      </c>
      <c r="AS28" t="e">
        <f ca="1"/>
        <v>#NAME?</v>
      </c>
      <c r="AT28" t="e">
        <f ca="1"/>
        <v>#NAME?</v>
      </c>
    </row>
    <row r="29" spans="1:46" x14ac:dyDescent="0.3">
      <c r="A29" s="26">
        <f ca="1"/>
        <v>27</v>
      </c>
      <c r="B29" s="28" t="s">
        <v>1396</v>
      </c>
      <c r="C29" s="28" t="s">
        <v>2473</v>
      </c>
      <c r="D29" s="31" t="str">
        <f ca="1"/>
        <v/>
      </c>
      <c r="F29">
        <f ca="1"/>
        <v>10</v>
      </c>
      <c r="G29">
        <f ca="1"/>
        <v>2</v>
      </c>
      <c r="H29" s="28" t="str">
        <f ca="1"/>
        <v>Destilador@@@@@@@@@@@@@@@@@027</v>
      </c>
      <c r="I29" s="28" t="str">
        <f ca="1"/>
        <v>DE@027</v>
      </c>
      <c r="J29" s="28" t="e">
        <f ca="1"/>
        <v>#NAME?</v>
      </c>
      <c r="K29" s="28" t="e">
        <f ca="1"/>
        <v>#NAME?</v>
      </c>
      <c r="L29" s="28" t="e">
        <f ca="1"/>
        <v>#NAME?</v>
      </c>
      <c r="M29" s="28" t="e">
        <f ca="1"/>
        <v>#NAME?</v>
      </c>
      <c r="N29" t="e">
        <f ca="1"/>
        <v>#NAME?</v>
      </c>
      <c r="O29" t="e">
        <f ca="1"/>
        <v>#NAME?</v>
      </c>
      <c r="P29" t="str">
        <f ca="1"/>
        <v/>
      </c>
      <c r="Q29" t="str">
        <f ca="1"/>
        <v/>
      </c>
      <c r="R29">
        <f ca="1"/>
        <v>0</v>
      </c>
      <c r="S29" t="str">
        <f ca="1"/>
        <v>Destilador</v>
      </c>
      <c r="T29" t="str">
        <f ca="1"/>
        <v>DE</v>
      </c>
      <c r="U29" t="e">
        <f ca="1"/>
        <v>#NAME?</v>
      </c>
      <c r="V29" t="e">
        <f ca="1"/>
        <v>#NAME?</v>
      </c>
      <c r="W29" t="e">
        <f ca="1"/>
        <v>#NAME?</v>
      </c>
      <c r="X29" t="e">
        <f ca="1"/>
        <v>#NAME?</v>
      </c>
      <c r="Y29" t="e" cm="1">
        <f t="array" aca="1" ref="Y29" ca="1">IF(W29&lt;&gt;"", SUMPRODUCT( (input!H:H=tipos_eqs!W29)*1 ), "")</f>
        <v>#NAME?</v>
      </c>
      <c r="Z29" t="e">
        <f ca="1"/>
        <v>#NAME?</v>
      </c>
      <c r="AA29" t="e">
        <f ca="1"/>
        <v>#NAME?</v>
      </c>
      <c r="AB29" t="e">
        <f ca="1"/>
        <v>#NAME?</v>
      </c>
      <c r="AC29" t="e">
        <f t="shared" ca="1" si="2"/>
        <v>#NAME?</v>
      </c>
      <c r="AD29" t="e">
        <f t="shared" ca="1" si="0"/>
        <v>#NAME?</v>
      </c>
      <c r="AE29" t="e">
        <f t="shared" ca="1" si="1"/>
        <v>#NAME?</v>
      </c>
      <c r="AF29" t="e">
        <f ca="1"/>
        <v>#NAME?</v>
      </c>
      <c r="AG29" t="e">
        <f ca="1"/>
        <v>#NAME?</v>
      </c>
      <c r="AH29" t="e">
        <f ca="1"/>
        <v>#NAME?</v>
      </c>
      <c r="AI29" t="e">
        <f ca="1"/>
        <v>#NAME?</v>
      </c>
      <c r="AJ29" t="e">
        <f ca="1"/>
        <v>#NAME?</v>
      </c>
      <c r="AK29" t="e">
        <f ca="1"/>
        <v>#NAME?</v>
      </c>
      <c r="AL29" t="e">
        <f ca="1"/>
        <v>#NAME?</v>
      </c>
      <c r="AM29" t="e">
        <f ca="1"/>
        <v>#NAME?</v>
      </c>
      <c r="AN29" t="e">
        <f ca="1"/>
        <v>#NAME?</v>
      </c>
      <c r="AO29" t="e">
        <f ca="1"/>
        <v>#NAME?</v>
      </c>
      <c r="AP29" t="e">
        <f ca="1"/>
        <v>#NAME?</v>
      </c>
      <c r="AQ29" t="e">
        <f ca="1"/>
        <v>#NAME?</v>
      </c>
      <c r="AR29" t="e">
        <f ca="1"/>
        <v>#NAME?</v>
      </c>
      <c r="AS29" t="e">
        <f ca="1"/>
        <v>#NAME?</v>
      </c>
      <c r="AT29" t="e">
        <f ca="1"/>
        <v>#NAME?</v>
      </c>
    </row>
    <row r="30" spans="1:46" x14ac:dyDescent="0.3">
      <c r="A30" s="26">
        <f ca="1"/>
        <v>28</v>
      </c>
      <c r="B30" s="28" t="s">
        <v>1744</v>
      </c>
      <c r="C30" s="28" t="s">
        <v>2474</v>
      </c>
      <c r="D30" s="31" t="str">
        <f ca="1"/>
        <v/>
      </c>
      <c r="F30">
        <f ca="1"/>
        <v>15</v>
      </c>
      <c r="G30">
        <f ca="1"/>
        <v>2</v>
      </c>
      <c r="H30" s="28" t="str">
        <f ca="1"/>
        <v>desumidificador@@@@@@@@@@@@028</v>
      </c>
      <c r="I30" s="28" t="str">
        <f ca="1"/>
        <v>DS@028</v>
      </c>
      <c r="J30" s="28" t="e">
        <f ca="1"/>
        <v>#NAME?</v>
      </c>
      <c r="K30" s="28" t="e">
        <f ca="1"/>
        <v>#NAME?</v>
      </c>
      <c r="L30" s="28" t="e">
        <f ca="1"/>
        <v>#NAME?</v>
      </c>
      <c r="M30" s="28" t="e">
        <f ca="1"/>
        <v>#NAME?</v>
      </c>
      <c r="N30" t="e">
        <f ca="1"/>
        <v>#NAME?</v>
      </c>
      <c r="O30" t="e">
        <f ca="1"/>
        <v>#NAME?</v>
      </c>
      <c r="P30" t="str">
        <f ca="1"/>
        <v/>
      </c>
      <c r="Q30" t="str">
        <f ca="1"/>
        <v/>
      </c>
      <c r="R30">
        <f ca="1"/>
        <v>0</v>
      </c>
      <c r="S30" t="str">
        <f ca="1"/>
        <v>desumidificador</v>
      </c>
      <c r="T30" t="str">
        <f ca="1"/>
        <v>DS</v>
      </c>
      <c r="U30" t="e">
        <f ca="1"/>
        <v>#NAME?</v>
      </c>
      <c r="V30" t="e">
        <f ca="1"/>
        <v>#NAME?</v>
      </c>
      <c r="W30" t="e">
        <f ca="1"/>
        <v>#NAME?</v>
      </c>
      <c r="X30" t="e">
        <f ca="1"/>
        <v>#NAME?</v>
      </c>
      <c r="Y30" t="e" cm="1">
        <f t="array" aca="1" ref="Y30" ca="1">IF(W30&lt;&gt;"", SUMPRODUCT( (input!H:H=tipos_eqs!W30)*1 ), "")</f>
        <v>#NAME?</v>
      </c>
      <c r="Z30" t="e">
        <f ca="1"/>
        <v>#NAME?</v>
      </c>
      <c r="AA30" t="e">
        <f ca="1"/>
        <v>#NAME?</v>
      </c>
      <c r="AB30" t="e">
        <f ca="1"/>
        <v>#NAME?</v>
      </c>
      <c r="AC30" t="e">
        <f t="shared" ca="1" si="2"/>
        <v>#NAME?</v>
      </c>
      <c r="AD30" t="e">
        <f t="shared" ca="1" si="0"/>
        <v>#NAME?</v>
      </c>
      <c r="AE30" t="e">
        <f t="shared" ca="1" si="1"/>
        <v>#NAME?</v>
      </c>
      <c r="AF30" t="e">
        <f ca="1"/>
        <v>#NAME?</v>
      </c>
      <c r="AG30" t="e">
        <f ca="1"/>
        <v>#NAME?</v>
      </c>
      <c r="AH30" t="e">
        <f ca="1"/>
        <v>#NAME?</v>
      </c>
      <c r="AI30" t="e">
        <f ca="1"/>
        <v>#NAME?</v>
      </c>
      <c r="AJ30" t="e">
        <f ca="1"/>
        <v>#NAME?</v>
      </c>
      <c r="AK30" t="e">
        <f ca="1"/>
        <v>#NAME?</v>
      </c>
      <c r="AL30" t="e">
        <f ca="1"/>
        <v>#NAME?</v>
      </c>
      <c r="AM30" t="e">
        <f ca="1"/>
        <v>#NAME?</v>
      </c>
      <c r="AN30" t="e">
        <f ca="1"/>
        <v>#NAME?</v>
      </c>
      <c r="AO30" t="e">
        <f ca="1"/>
        <v>#NAME?</v>
      </c>
      <c r="AP30" t="e">
        <f ca="1"/>
        <v>#NAME?</v>
      </c>
      <c r="AQ30" t="e">
        <f ca="1"/>
        <v>#NAME?</v>
      </c>
      <c r="AR30" t="e">
        <f ca="1"/>
        <v>#NAME?</v>
      </c>
      <c r="AS30" t="e">
        <f ca="1"/>
        <v>#NAME?</v>
      </c>
      <c r="AT30" t="e">
        <f ca="1"/>
        <v>#NAME?</v>
      </c>
    </row>
    <row r="31" spans="1:46" x14ac:dyDescent="0.3">
      <c r="A31" s="26">
        <f ca="1"/>
        <v>29</v>
      </c>
      <c r="B31" s="28" t="s">
        <v>1257</v>
      </c>
      <c r="C31" s="28" t="s">
        <v>2475</v>
      </c>
      <c r="D31" s="31" t="str">
        <f ca="1"/>
        <v/>
      </c>
      <c r="F31">
        <f ca="1"/>
        <v>12</v>
      </c>
      <c r="G31">
        <f ca="1"/>
        <v>2</v>
      </c>
      <c r="H31" s="28" t="str">
        <f ca="1"/>
        <v>Difratometro@@@@@@@@@@@@@@@029</v>
      </c>
      <c r="I31" s="28" t="str">
        <f ca="1"/>
        <v>DF@029</v>
      </c>
      <c r="J31" s="28" t="e">
        <f ca="1"/>
        <v>#NAME?</v>
      </c>
      <c r="K31" s="28" t="e">
        <f ca="1"/>
        <v>#NAME?</v>
      </c>
      <c r="L31" s="28" t="e">
        <f ca="1"/>
        <v>#NAME?</v>
      </c>
      <c r="M31" s="28" t="e">
        <f ca="1"/>
        <v>#NAME?</v>
      </c>
      <c r="N31" t="e">
        <f ca="1"/>
        <v>#NAME?</v>
      </c>
      <c r="O31" t="e">
        <f ca="1"/>
        <v>#NAME?</v>
      </c>
      <c r="P31" t="str">
        <f ca="1"/>
        <v/>
      </c>
      <c r="Q31" t="str">
        <f ca="1"/>
        <v/>
      </c>
      <c r="R31">
        <f ca="1"/>
        <v>0</v>
      </c>
      <c r="S31" t="str">
        <f ca="1"/>
        <v>Difratometro</v>
      </c>
      <c r="T31" t="str">
        <f ca="1"/>
        <v>DF</v>
      </c>
      <c r="U31" t="e">
        <f ca="1"/>
        <v>#NAME?</v>
      </c>
      <c r="V31" t="e">
        <f ca="1"/>
        <v>#NAME?</v>
      </c>
      <c r="W31" t="e">
        <f ca="1"/>
        <v>#NAME?</v>
      </c>
      <c r="X31" t="e">
        <f ca="1"/>
        <v>#NAME?</v>
      </c>
      <c r="Y31" t="e" cm="1">
        <f t="array" aca="1" ref="Y31" ca="1">IF(W31&lt;&gt;"", SUMPRODUCT( (input!H:H=tipos_eqs!W31)*1 ), "")</f>
        <v>#NAME?</v>
      </c>
      <c r="Z31" t="e">
        <f ca="1"/>
        <v>#NAME?</v>
      </c>
      <c r="AA31" t="e">
        <f ca="1"/>
        <v>#NAME?</v>
      </c>
      <c r="AB31" t="e">
        <f ca="1"/>
        <v>#NAME?</v>
      </c>
      <c r="AC31" t="e">
        <f t="shared" ca="1" si="2"/>
        <v>#NAME?</v>
      </c>
      <c r="AD31" t="e">
        <f t="shared" ca="1" si="0"/>
        <v>#NAME?</v>
      </c>
      <c r="AE31" t="e">
        <f t="shared" ca="1" si="1"/>
        <v>#NAME?</v>
      </c>
      <c r="AF31" t="e">
        <f ca="1"/>
        <v>#NAME?</v>
      </c>
      <c r="AG31" t="e">
        <f ca="1"/>
        <v>#NAME?</v>
      </c>
      <c r="AH31" t="e">
        <f ca="1"/>
        <v>#NAME?</v>
      </c>
      <c r="AI31" t="e">
        <f ca="1"/>
        <v>#NAME?</v>
      </c>
      <c r="AJ31" t="e">
        <f ca="1"/>
        <v>#NAME?</v>
      </c>
      <c r="AK31" t="e">
        <f ca="1"/>
        <v>#NAME?</v>
      </c>
      <c r="AL31" t="e">
        <f ca="1"/>
        <v>#NAME?</v>
      </c>
      <c r="AM31" t="e">
        <f ca="1"/>
        <v>#NAME?</v>
      </c>
      <c r="AN31" t="e">
        <f ca="1"/>
        <v>#NAME?</v>
      </c>
      <c r="AO31" t="e">
        <f ca="1"/>
        <v>#NAME?</v>
      </c>
      <c r="AP31" t="e">
        <f ca="1"/>
        <v>#NAME?</v>
      </c>
      <c r="AQ31" t="e">
        <f ca="1"/>
        <v>#NAME?</v>
      </c>
      <c r="AR31" t="e">
        <f ca="1"/>
        <v>#NAME?</v>
      </c>
      <c r="AS31" t="e">
        <f ca="1"/>
        <v>#NAME?</v>
      </c>
      <c r="AT31" t="e">
        <f ca="1"/>
        <v>#NAME?</v>
      </c>
    </row>
    <row r="32" spans="1:46" x14ac:dyDescent="0.3">
      <c r="A32" s="26">
        <f ca="1"/>
        <v>30</v>
      </c>
      <c r="B32" s="28" t="s">
        <v>1950</v>
      </c>
      <c r="C32" s="28" t="s">
        <v>2476</v>
      </c>
      <c r="D32" s="31" t="str">
        <f ca="1"/>
        <v/>
      </c>
      <c r="F32">
        <f ca="1"/>
        <v>11</v>
      </c>
      <c r="G32">
        <f ca="1"/>
        <v>2</v>
      </c>
      <c r="H32" s="28" t="str">
        <f ca="1"/>
        <v>Dilatometro@@@@@@@@@@@@@@@@030</v>
      </c>
      <c r="I32" s="28" t="str">
        <f ca="1"/>
        <v>DL@030</v>
      </c>
      <c r="J32" s="28" t="e">
        <f ca="1"/>
        <v>#NAME?</v>
      </c>
      <c r="K32" s="28" t="e">
        <f ca="1"/>
        <v>#NAME?</v>
      </c>
      <c r="L32" s="28" t="e">
        <f ca="1"/>
        <v>#NAME?</v>
      </c>
      <c r="M32" s="28" t="e">
        <f ca="1"/>
        <v>#NAME?</v>
      </c>
      <c r="N32" t="e">
        <f ca="1"/>
        <v>#NAME?</v>
      </c>
      <c r="O32" t="e">
        <f ca="1"/>
        <v>#NAME?</v>
      </c>
      <c r="P32" t="str">
        <f ca="1"/>
        <v/>
      </c>
      <c r="Q32" t="str">
        <f ca="1"/>
        <v/>
      </c>
      <c r="R32">
        <f ca="1"/>
        <v>0</v>
      </c>
      <c r="S32" t="str">
        <f ca="1"/>
        <v>Dilatometro</v>
      </c>
      <c r="T32" t="str">
        <f ca="1"/>
        <v>DL</v>
      </c>
      <c r="U32" t="e">
        <f ca="1"/>
        <v>#NAME?</v>
      </c>
      <c r="V32" t="e">
        <f ca="1"/>
        <v>#NAME?</v>
      </c>
      <c r="W32" t="e">
        <f ca="1"/>
        <v>#NAME?</v>
      </c>
      <c r="X32" t="e">
        <f ca="1"/>
        <v>#NAME?</v>
      </c>
      <c r="Y32" t="e" cm="1">
        <f t="array" aca="1" ref="Y32" ca="1">IF(W32&lt;&gt;"", SUMPRODUCT( (input!H:H=tipos_eqs!W32)*1 ), "")</f>
        <v>#NAME?</v>
      </c>
      <c r="Z32" t="e">
        <f ca="1"/>
        <v>#NAME?</v>
      </c>
      <c r="AA32" t="e">
        <f ca="1"/>
        <v>#NAME?</v>
      </c>
      <c r="AB32" t="e">
        <f ca="1"/>
        <v>#NAME?</v>
      </c>
      <c r="AC32" t="e">
        <f t="shared" ca="1" si="2"/>
        <v>#NAME?</v>
      </c>
      <c r="AD32" t="e">
        <f t="shared" ca="1" si="0"/>
        <v>#NAME?</v>
      </c>
      <c r="AE32" t="e">
        <f t="shared" ca="1" si="1"/>
        <v>#NAME?</v>
      </c>
      <c r="AF32" t="e">
        <f ca="1"/>
        <v>#NAME?</v>
      </c>
      <c r="AG32" t="e">
        <f ca="1"/>
        <v>#NAME?</v>
      </c>
      <c r="AH32" t="e">
        <f ca="1"/>
        <v>#NAME?</v>
      </c>
      <c r="AI32" t="e">
        <f ca="1"/>
        <v>#NAME?</v>
      </c>
      <c r="AJ32" t="e">
        <f ca="1"/>
        <v>#NAME?</v>
      </c>
      <c r="AK32" t="e">
        <f ca="1"/>
        <v>#NAME?</v>
      </c>
      <c r="AL32" t="e">
        <f ca="1"/>
        <v>#NAME?</v>
      </c>
      <c r="AM32" t="e">
        <f ca="1"/>
        <v>#NAME?</v>
      </c>
      <c r="AN32" t="e">
        <f ca="1"/>
        <v>#NAME?</v>
      </c>
      <c r="AO32" t="e">
        <f ca="1"/>
        <v>#NAME?</v>
      </c>
      <c r="AP32" t="e">
        <f ca="1"/>
        <v>#NAME?</v>
      </c>
      <c r="AQ32" t="e">
        <f ca="1"/>
        <v>#NAME?</v>
      </c>
      <c r="AR32" t="e">
        <f ca="1"/>
        <v>#NAME?</v>
      </c>
      <c r="AS32" t="e">
        <f ca="1"/>
        <v>#NAME?</v>
      </c>
      <c r="AT32" t="e">
        <f ca="1"/>
        <v>#NAME?</v>
      </c>
    </row>
    <row r="33" spans="1:46" x14ac:dyDescent="0.3">
      <c r="A33" s="26">
        <f ca="1"/>
        <v>31</v>
      </c>
      <c r="B33" s="28" t="s">
        <v>521</v>
      </c>
      <c r="C33" s="28" t="s">
        <v>2477</v>
      </c>
      <c r="D33" s="31" t="str">
        <f ca="1"/>
        <v/>
      </c>
      <c r="F33">
        <f ca="1"/>
        <v>5</v>
      </c>
      <c r="G33">
        <f ca="1"/>
        <v>2</v>
      </c>
      <c r="H33" s="28" t="str">
        <f ca="1"/>
        <v>Disco@@@@@@@@@@@@@@@@@@@@@@031</v>
      </c>
      <c r="I33" s="28" t="str">
        <f ca="1"/>
        <v>DI@031</v>
      </c>
      <c r="J33" s="28" t="e">
        <f ca="1"/>
        <v>#NAME?</v>
      </c>
      <c r="K33" s="28" t="e">
        <f ca="1"/>
        <v>#NAME?</v>
      </c>
      <c r="L33" s="28" t="e">
        <f ca="1"/>
        <v>#NAME?</v>
      </c>
      <c r="M33" s="28" t="e">
        <f ca="1"/>
        <v>#NAME?</v>
      </c>
      <c r="N33" t="e">
        <f ca="1"/>
        <v>#NAME?</v>
      </c>
      <c r="O33" t="e">
        <f ca="1"/>
        <v>#NAME?</v>
      </c>
      <c r="P33" t="str">
        <f ca="1"/>
        <v/>
      </c>
      <c r="Q33" t="str">
        <f ca="1"/>
        <v/>
      </c>
      <c r="R33">
        <f ca="1"/>
        <v>0</v>
      </c>
      <c r="S33" t="str">
        <f ca="1"/>
        <v>Disco</v>
      </c>
      <c r="T33" t="str">
        <f ca="1"/>
        <v>DI</v>
      </c>
      <c r="U33" t="e">
        <f ca="1"/>
        <v>#NAME?</v>
      </c>
      <c r="V33" t="e">
        <f ca="1"/>
        <v>#NAME?</v>
      </c>
      <c r="W33" t="e">
        <f ca="1"/>
        <v>#NAME?</v>
      </c>
      <c r="X33" t="e">
        <f ca="1"/>
        <v>#NAME?</v>
      </c>
      <c r="Y33" t="e" cm="1">
        <f t="array" aca="1" ref="Y33" ca="1">IF(W33&lt;&gt;"", SUMPRODUCT( (input!H:H=tipos_eqs!W33)*1 ), "")</f>
        <v>#NAME?</v>
      </c>
      <c r="Z33" t="e">
        <f ca="1"/>
        <v>#NAME?</v>
      </c>
      <c r="AA33" t="e">
        <f ca="1"/>
        <v>#NAME?</v>
      </c>
      <c r="AB33" t="e">
        <f ca="1"/>
        <v>#NAME?</v>
      </c>
      <c r="AC33" t="e">
        <f t="shared" ca="1" si="2"/>
        <v>#NAME?</v>
      </c>
      <c r="AD33" t="e">
        <f t="shared" ca="1" si="0"/>
        <v>#NAME?</v>
      </c>
      <c r="AE33" t="e">
        <f t="shared" ca="1" si="1"/>
        <v>#NAME?</v>
      </c>
      <c r="AF33" t="e">
        <f ca="1"/>
        <v>#NAME?</v>
      </c>
      <c r="AG33" t="e">
        <f ca="1"/>
        <v>#NAME?</v>
      </c>
      <c r="AH33" t="e">
        <f ca="1"/>
        <v>#NAME?</v>
      </c>
      <c r="AI33" t="e">
        <f ca="1"/>
        <v>#NAME?</v>
      </c>
      <c r="AJ33" t="e">
        <f ca="1"/>
        <v>#NAME?</v>
      </c>
      <c r="AK33" t="e">
        <f ca="1"/>
        <v>#NAME?</v>
      </c>
      <c r="AL33" t="e">
        <f ca="1"/>
        <v>#NAME?</v>
      </c>
      <c r="AM33" t="e">
        <f ca="1"/>
        <v>#NAME?</v>
      </c>
      <c r="AN33" t="e">
        <f ca="1"/>
        <v>#NAME?</v>
      </c>
      <c r="AO33" t="e">
        <f ca="1"/>
        <v>#NAME?</v>
      </c>
      <c r="AP33" t="e">
        <f ca="1"/>
        <v>#NAME?</v>
      </c>
      <c r="AQ33" t="e">
        <f ca="1"/>
        <v>#NAME?</v>
      </c>
      <c r="AR33" t="e">
        <f ca="1"/>
        <v>#NAME?</v>
      </c>
      <c r="AS33" t="e">
        <f ca="1"/>
        <v>#NAME?</v>
      </c>
      <c r="AT33" t="e">
        <f ca="1"/>
        <v>#NAME?</v>
      </c>
    </row>
    <row r="34" spans="1:46" x14ac:dyDescent="0.3">
      <c r="A34" s="26">
        <f ca="1"/>
        <v>32</v>
      </c>
      <c r="B34" s="28" t="s">
        <v>510</v>
      </c>
      <c r="C34" s="28" t="s">
        <v>2478</v>
      </c>
      <c r="D34" s="31" t="str">
        <f ca="1"/>
        <v/>
      </c>
      <c r="F34">
        <f ca="1"/>
        <v>7</v>
      </c>
      <c r="G34">
        <f ca="1"/>
        <v>2</v>
      </c>
      <c r="H34" s="28" t="str">
        <f ca="1"/>
        <v>Dosador@@@@@@@@@@@@@@@@@@@@032</v>
      </c>
      <c r="I34" s="28" t="str">
        <f ca="1"/>
        <v>DO@032</v>
      </c>
      <c r="J34" s="28" t="e">
        <f ca="1"/>
        <v>#NAME?</v>
      </c>
      <c r="K34" s="28" t="e">
        <f ca="1"/>
        <v>#NAME?</v>
      </c>
      <c r="L34" s="28" t="e">
        <f ca="1"/>
        <v>#NAME?</v>
      </c>
      <c r="M34" s="28" t="e">
        <f ca="1"/>
        <v>#NAME?</v>
      </c>
      <c r="N34" t="e">
        <f ca="1"/>
        <v>#NAME?</v>
      </c>
      <c r="O34" t="e">
        <f ca="1"/>
        <v>#NAME?</v>
      </c>
      <c r="P34" t="str">
        <f ca="1"/>
        <v/>
      </c>
      <c r="Q34" t="str">
        <f ca="1"/>
        <v/>
      </c>
      <c r="R34">
        <f ca="1"/>
        <v>0</v>
      </c>
      <c r="S34" t="str">
        <f ca="1"/>
        <v>Dosador</v>
      </c>
      <c r="T34" t="str">
        <f ca="1"/>
        <v>DO</v>
      </c>
      <c r="U34" t="e">
        <f ca="1"/>
        <v>#NAME?</v>
      </c>
      <c r="V34" t="e">
        <f ca="1"/>
        <v>#NAME?</v>
      </c>
      <c r="W34" t="e">
        <f ca="1"/>
        <v>#NAME?</v>
      </c>
      <c r="X34" t="e">
        <f ca="1"/>
        <v>#NAME?</v>
      </c>
      <c r="Y34" t="e" cm="1">
        <f t="array" aca="1" ref="Y34" ca="1">IF(W34&lt;&gt;"", SUMPRODUCT( (input!H:H=tipos_eqs!W34)*1 ), "")</f>
        <v>#NAME?</v>
      </c>
      <c r="Z34" t="e">
        <f ca="1"/>
        <v>#NAME?</v>
      </c>
      <c r="AA34" t="e">
        <f ca="1"/>
        <v>#NAME?</v>
      </c>
      <c r="AB34" t="e">
        <f ca="1"/>
        <v>#NAME?</v>
      </c>
      <c r="AC34" t="e">
        <f t="shared" ca="1" si="2"/>
        <v>#NAME?</v>
      </c>
      <c r="AD34" t="e">
        <f t="shared" ca="1" si="0"/>
        <v>#NAME?</v>
      </c>
      <c r="AE34" t="e">
        <f t="shared" ca="1" si="1"/>
        <v>#NAME?</v>
      </c>
      <c r="AF34" t="e">
        <f ca="1"/>
        <v>#NAME?</v>
      </c>
      <c r="AG34" t="e">
        <f ca="1"/>
        <v>#NAME?</v>
      </c>
      <c r="AH34" t="e">
        <f ca="1"/>
        <v>#NAME?</v>
      </c>
      <c r="AI34" t="e">
        <f ca="1"/>
        <v>#NAME?</v>
      </c>
      <c r="AJ34" t="e">
        <f ca="1"/>
        <v>#NAME?</v>
      </c>
      <c r="AK34" t="e">
        <f ca="1"/>
        <v>#NAME?</v>
      </c>
      <c r="AL34" t="e">
        <f ca="1"/>
        <v>#NAME?</v>
      </c>
      <c r="AM34" t="e">
        <f ca="1"/>
        <v>#NAME?</v>
      </c>
      <c r="AN34" t="e">
        <f ca="1"/>
        <v>#NAME?</v>
      </c>
      <c r="AO34" t="e">
        <f ca="1"/>
        <v>#NAME?</v>
      </c>
      <c r="AP34" t="e">
        <f ca="1"/>
        <v>#NAME?</v>
      </c>
      <c r="AQ34" t="e">
        <f ca="1"/>
        <v>#NAME?</v>
      </c>
      <c r="AR34" t="e">
        <f ca="1"/>
        <v>#NAME?</v>
      </c>
      <c r="AS34" t="e">
        <f ca="1"/>
        <v>#NAME?</v>
      </c>
      <c r="AT34" t="e">
        <f ca="1"/>
        <v>#NAME?</v>
      </c>
    </row>
    <row r="35" spans="1:46" x14ac:dyDescent="0.3">
      <c r="A35" s="26">
        <f ca="1"/>
        <v>33</v>
      </c>
      <c r="B35" s="28" t="s">
        <v>1059</v>
      </c>
      <c r="C35" s="28" t="s">
        <v>2479</v>
      </c>
      <c r="D35" s="31" t="str">
        <f ca="1"/>
        <v/>
      </c>
      <c r="F35">
        <f ca="1"/>
        <v>3</v>
      </c>
      <c r="G35">
        <f ca="1"/>
        <v>2</v>
      </c>
      <c r="H35" s="28" t="str">
        <f ca="1"/>
        <v>DTA@@@@@@@@@@@@@@@@@@@@@@@@033</v>
      </c>
      <c r="I35" s="28" t="str">
        <f ca="1"/>
        <v>DT@033</v>
      </c>
      <c r="J35" s="28" t="e">
        <f ca="1"/>
        <v>#NAME?</v>
      </c>
      <c r="K35" s="28" t="e">
        <f ca="1"/>
        <v>#NAME?</v>
      </c>
      <c r="L35" s="28" t="e">
        <f ca="1"/>
        <v>#NAME?</v>
      </c>
      <c r="M35" s="28" t="e">
        <f ca="1"/>
        <v>#NAME?</v>
      </c>
      <c r="N35" t="e">
        <f ca="1"/>
        <v>#NAME?</v>
      </c>
      <c r="O35" t="e">
        <f ca="1"/>
        <v>#NAME?</v>
      </c>
      <c r="P35" t="str">
        <f ca="1"/>
        <v/>
      </c>
      <c r="Q35" t="str">
        <f ca="1"/>
        <v/>
      </c>
      <c r="R35">
        <f ca="1"/>
        <v>0</v>
      </c>
      <c r="S35" t="str">
        <f ca="1"/>
        <v>DTA</v>
      </c>
      <c r="T35" t="str">
        <f ca="1"/>
        <v>DT</v>
      </c>
      <c r="U35" t="e">
        <f ca="1"/>
        <v>#NAME?</v>
      </c>
      <c r="V35" t="e">
        <f ca="1"/>
        <v>#NAME?</v>
      </c>
      <c r="W35" t="e">
        <f ca="1"/>
        <v>#NAME?</v>
      </c>
      <c r="X35" t="e">
        <f ca="1"/>
        <v>#NAME?</v>
      </c>
      <c r="Y35" t="e" cm="1">
        <f t="array" aca="1" ref="Y35" ca="1">IF(W35&lt;&gt;"", SUMPRODUCT( (input!H:H=tipos_eqs!W35)*1 ), "")</f>
        <v>#NAME?</v>
      </c>
      <c r="Z35" t="e">
        <f ca="1"/>
        <v>#NAME?</v>
      </c>
      <c r="AA35" t="e">
        <f ca="1"/>
        <v>#NAME?</v>
      </c>
      <c r="AB35" t="e">
        <f ca="1"/>
        <v>#NAME?</v>
      </c>
      <c r="AC35" t="e">
        <f t="shared" ca="1" si="2"/>
        <v>#NAME?</v>
      </c>
      <c r="AD35" t="e">
        <f t="shared" ca="1" si="0"/>
        <v>#NAME?</v>
      </c>
      <c r="AE35" t="e">
        <f t="shared" ca="1" si="1"/>
        <v>#NAME?</v>
      </c>
      <c r="AF35" t="e">
        <f ca="1"/>
        <v>#NAME?</v>
      </c>
      <c r="AG35" t="e">
        <f ca="1"/>
        <v>#NAME?</v>
      </c>
      <c r="AH35" t="e">
        <f ca="1"/>
        <v>#NAME?</v>
      </c>
      <c r="AI35" t="e">
        <f ca="1"/>
        <v>#NAME?</v>
      </c>
      <c r="AJ35" t="e">
        <f ca="1"/>
        <v>#NAME?</v>
      </c>
      <c r="AK35" t="e">
        <f ca="1"/>
        <v>#NAME?</v>
      </c>
      <c r="AL35" t="e">
        <f ca="1"/>
        <v>#NAME?</v>
      </c>
      <c r="AM35" t="e">
        <f ca="1"/>
        <v>#NAME?</v>
      </c>
      <c r="AN35" t="e">
        <f ca="1"/>
        <v>#NAME?</v>
      </c>
      <c r="AO35" t="e">
        <f ca="1"/>
        <v>#NAME?</v>
      </c>
      <c r="AP35" t="e">
        <f ca="1"/>
        <v>#NAME?</v>
      </c>
      <c r="AQ35" t="e">
        <f ca="1"/>
        <v>#NAME?</v>
      </c>
      <c r="AR35" t="e">
        <f ca="1"/>
        <v>#NAME?</v>
      </c>
      <c r="AS35" t="e">
        <f ca="1"/>
        <v>#NAME?</v>
      </c>
      <c r="AT35" t="e">
        <f ca="1"/>
        <v>#NAME?</v>
      </c>
    </row>
    <row r="36" spans="1:46" x14ac:dyDescent="0.3">
      <c r="A36" s="26">
        <f ca="1"/>
        <v>34</v>
      </c>
      <c r="B36" s="29" t="s">
        <v>1546</v>
      </c>
      <c r="C36" s="29" t="s">
        <v>2446</v>
      </c>
      <c r="D36" s="31" t="str">
        <f ca="1"/>
        <v/>
      </c>
      <c r="F36">
        <f ca="1"/>
        <v>6</v>
      </c>
      <c r="G36">
        <f ca="1"/>
        <v>2</v>
      </c>
      <c r="H36" s="28" t="str">
        <f ca="1"/>
        <v>dureza@@@@@@@@@@@@@@@@@@@@@034</v>
      </c>
      <c r="I36" s="28" t="str">
        <f ca="1"/>
        <v>DR@034</v>
      </c>
      <c r="J36" s="28" t="e">
        <f ca="1"/>
        <v>#NAME?</v>
      </c>
      <c r="K36" s="28" t="e">
        <f ca="1"/>
        <v>#NAME?</v>
      </c>
      <c r="L36" s="28" t="e">
        <f ca="1"/>
        <v>#NAME?</v>
      </c>
      <c r="M36" s="28" t="e">
        <f ca="1"/>
        <v>#NAME?</v>
      </c>
      <c r="N36" t="e">
        <f ca="1"/>
        <v>#NAME?</v>
      </c>
      <c r="O36" t="e">
        <f ca="1"/>
        <v>#NAME?</v>
      </c>
      <c r="P36" t="str">
        <f ca="1"/>
        <v/>
      </c>
      <c r="Q36" t="str">
        <f ca="1"/>
        <v/>
      </c>
      <c r="R36">
        <f ca="1"/>
        <v>0</v>
      </c>
      <c r="S36" t="str">
        <f ca="1"/>
        <v>dureza</v>
      </c>
      <c r="T36" t="str">
        <f ca="1"/>
        <v>DR</v>
      </c>
      <c r="U36" t="e">
        <f ca="1"/>
        <v>#NAME?</v>
      </c>
      <c r="V36" t="e">
        <f ca="1"/>
        <v>#NAME?</v>
      </c>
      <c r="W36" t="e">
        <f ca="1"/>
        <v>#NAME?</v>
      </c>
      <c r="X36" t="e">
        <f ca="1"/>
        <v>#NAME?</v>
      </c>
      <c r="Y36" t="e" cm="1">
        <f t="array" aca="1" ref="Y36" ca="1">IF(W36&lt;&gt;"", SUMPRODUCT( (input!H:H=tipos_eqs!W36)*1 ), "")</f>
        <v>#NAME?</v>
      </c>
      <c r="Z36" t="e">
        <f ca="1"/>
        <v>#NAME?</v>
      </c>
      <c r="AA36" t="e">
        <f ca="1"/>
        <v>#NAME?</v>
      </c>
      <c r="AB36" t="e">
        <f ca="1"/>
        <v>#NAME?</v>
      </c>
      <c r="AC36" t="e">
        <f t="shared" ca="1" si="2"/>
        <v>#NAME?</v>
      </c>
      <c r="AD36" t="e">
        <f t="shared" ref="AD36:AD67" ca="1" si="3">IF(AA36=AA35, AD35 &amp; ", ", "") &amp; AC36</f>
        <v>#NAME?</v>
      </c>
      <c r="AE36" t="e">
        <f t="shared" ca="1" si="1"/>
        <v>#NAME?</v>
      </c>
      <c r="AF36" t="e">
        <f ca="1"/>
        <v>#NAME?</v>
      </c>
      <c r="AG36" t="e">
        <f ca="1"/>
        <v>#NAME?</v>
      </c>
      <c r="AH36" t="e">
        <f ca="1"/>
        <v>#NAME?</v>
      </c>
      <c r="AI36" t="e">
        <f ca="1"/>
        <v>#NAME?</v>
      </c>
      <c r="AJ36" t="e">
        <f ca="1"/>
        <v>#NAME?</v>
      </c>
      <c r="AK36" t="e">
        <f ca="1"/>
        <v>#NAME?</v>
      </c>
      <c r="AL36" t="e">
        <f ca="1"/>
        <v>#NAME?</v>
      </c>
      <c r="AM36" t="e">
        <f ca="1"/>
        <v>#NAME?</v>
      </c>
      <c r="AN36" t="e">
        <f ca="1"/>
        <v>#NAME?</v>
      </c>
      <c r="AO36" t="e">
        <f ca="1"/>
        <v>#NAME?</v>
      </c>
      <c r="AP36" t="e">
        <f ca="1"/>
        <v>#NAME?</v>
      </c>
      <c r="AQ36" t="e">
        <f ca="1"/>
        <v>#NAME?</v>
      </c>
      <c r="AR36" t="e">
        <f ca="1"/>
        <v>#NAME?</v>
      </c>
      <c r="AS36" t="e">
        <f ca="1"/>
        <v>#NAME?</v>
      </c>
      <c r="AT36" t="e">
        <f ca="1"/>
        <v>#NAME?</v>
      </c>
    </row>
    <row r="37" spans="1:46" x14ac:dyDescent="0.3">
      <c r="A37" s="26">
        <f ca="1"/>
        <v>35</v>
      </c>
      <c r="B37" s="28" t="s">
        <v>1959</v>
      </c>
      <c r="C37" s="28" t="s">
        <v>2480</v>
      </c>
      <c r="D37" s="31" t="str">
        <f ca="1"/>
        <v/>
      </c>
      <c r="F37">
        <f ca="1"/>
        <v>10</v>
      </c>
      <c r="G37">
        <f ca="1"/>
        <v>2</v>
      </c>
      <c r="H37" s="28" t="str">
        <f ca="1"/>
        <v>Embutidora@@@@@@@@@@@@@@@@@035</v>
      </c>
      <c r="I37" s="28" t="str">
        <f ca="1"/>
        <v>EB@035</v>
      </c>
      <c r="J37" s="28" t="e">
        <f ca="1"/>
        <v>#NAME?</v>
      </c>
      <c r="K37" s="28" t="e">
        <f ca="1"/>
        <v>#NAME?</v>
      </c>
      <c r="L37" s="28" t="e">
        <f ca="1"/>
        <v>#NAME?</v>
      </c>
      <c r="M37" s="28" t="e">
        <f ca="1"/>
        <v>#NAME?</v>
      </c>
      <c r="N37" t="e">
        <f ca="1"/>
        <v>#NAME?</v>
      </c>
      <c r="O37" t="e">
        <f ca="1"/>
        <v>#NAME?</v>
      </c>
      <c r="P37" t="str">
        <f ca="1"/>
        <v/>
      </c>
      <c r="Q37" t="str">
        <f ca="1"/>
        <v/>
      </c>
      <c r="R37">
        <f ca="1"/>
        <v>0</v>
      </c>
      <c r="S37" t="str">
        <f ca="1"/>
        <v>Embutidora</v>
      </c>
      <c r="T37" t="str">
        <f ca="1"/>
        <v>EB</v>
      </c>
      <c r="U37" t="e">
        <f ca="1"/>
        <v>#NAME?</v>
      </c>
      <c r="V37" t="e">
        <f ca="1"/>
        <v>#NAME?</v>
      </c>
      <c r="W37" t="e">
        <f ca="1"/>
        <v>#NAME?</v>
      </c>
      <c r="X37" t="e">
        <f ca="1"/>
        <v>#NAME?</v>
      </c>
      <c r="Y37" t="e" cm="1">
        <f t="array" aca="1" ref="Y37" ca="1">IF(W37&lt;&gt;"", SUMPRODUCT( (input!H:H=tipos_eqs!W37)*1 ), "")</f>
        <v>#NAME?</v>
      </c>
      <c r="Z37" t="e">
        <f ca="1"/>
        <v>#NAME?</v>
      </c>
      <c r="AA37" t="e">
        <f ca="1"/>
        <v>#NAME?</v>
      </c>
      <c r="AB37" t="e">
        <f ca="1"/>
        <v>#NAME?</v>
      </c>
      <c r="AC37" t="e">
        <f t="shared" ca="1" si="2"/>
        <v>#NAME?</v>
      </c>
      <c r="AD37" t="e">
        <f t="shared" ca="1" si="3"/>
        <v>#NAME?</v>
      </c>
      <c r="AE37" t="e">
        <f t="shared" ca="1" si="1"/>
        <v>#NAME?</v>
      </c>
      <c r="AF37" t="e">
        <f ca="1"/>
        <v>#NAME?</v>
      </c>
      <c r="AG37" t="e">
        <f ca="1"/>
        <v>#NAME?</v>
      </c>
      <c r="AH37" t="e">
        <f ca="1"/>
        <v>#NAME?</v>
      </c>
      <c r="AI37" t="e">
        <f ca="1"/>
        <v>#NAME?</v>
      </c>
      <c r="AJ37" t="e">
        <f ca="1"/>
        <v>#NAME?</v>
      </c>
      <c r="AK37" t="e">
        <f ca="1"/>
        <v>#NAME?</v>
      </c>
      <c r="AL37" t="e">
        <f ca="1"/>
        <v>#NAME?</v>
      </c>
      <c r="AM37" t="e">
        <f ca="1"/>
        <v>#NAME?</v>
      </c>
      <c r="AN37" t="e">
        <f ca="1"/>
        <v>#NAME?</v>
      </c>
      <c r="AO37" t="e">
        <f ca="1"/>
        <v>#NAME?</v>
      </c>
      <c r="AP37" t="e">
        <f ca="1"/>
        <v>#NAME?</v>
      </c>
      <c r="AQ37" t="e">
        <f ca="1"/>
        <v>#NAME?</v>
      </c>
      <c r="AR37" t="e">
        <f ca="1"/>
        <v>#NAME?</v>
      </c>
      <c r="AS37" t="e">
        <f ca="1"/>
        <v>#NAME?</v>
      </c>
      <c r="AT37" t="e">
        <f ca="1"/>
        <v>#NAME?</v>
      </c>
    </row>
    <row r="38" spans="1:46" x14ac:dyDescent="0.3">
      <c r="A38" s="26">
        <f ca="1"/>
        <v>36</v>
      </c>
      <c r="B38" s="28" t="s">
        <v>765</v>
      </c>
      <c r="C38" s="28" t="s">
        <v>2481</v>
      </c>
      <c r="D38" s="31" t="str">
        <f ca="1"/>
        <v/>
      </c>
      <c r="F38">
        <f ca="1"/>
        <v>12</v>
      </c>
      <c r="G38">
        <f ca="1"/>
        <v>2</v>
      </c>
      <c r="H38" s="28" t="str">
        <f ca="1"/>
        <v>Empilhadeira@@@@@@@@@@@@@@@036</v>
      </c>
      <c r="I38" s="28" t="str">
        <f ca="1"/>
        <v>EP@036</v>
      </c>
      <c r="J38" s="28" t="e">
        <f ca="1"/>
        <v>#NAME?</v>
      </c>
      <c r="K38" s="28" t="e">
        <f ca="1"/>
        <v>#NAME?</v>
      </c>
      <c r="L38" s="28" t="e">
        <f ca="1"/>
        <v>#NAME?</v>
      </c>
      <c r="M38" s="28" t="e">
        <f ca="1"/>
        <v>#NAME?</v>
      </c>
      <c r="N38" t="e">
        <f ca="1"/>
        <v>#NAME?</v>
      </c>
      <c r="O38" t="e">
        <f ca="1"/>
        <v>#NAME?</v>
      </c>
      <c r="P38" t="str">
        <f ca="1"/>
        <v/>
      </c>
      <c r="Q38" t="str">
        <f ca="1"/>
        <v/>
      </c>
      <c r="R38">
        <f ca="1"/>
        <v>0</v>
      </c>
      <c r="S38" t="str">
        <f ca="1"/>
        <v>Empilhadeira</v>
      </c>
      <c r="T38" t="str">
        <f ca="1"/>
        <v>EP</v>
      </c>
      <c r="U38" t="e">
        <f ca="1"/>
        <v>#NAME?</v>
      </c>
      <c r="V38" t="e">
        <f ca="1"/>
        <v>#NAME?</v>
      </c>
      <c r="W38" t="e">
        <f ca="1"/>
        <v>#NAME?</v>
      </c>
      <c r="X38" t="e">
        <f ca="1"/>
        <v>#NAME?</v>
      </c>
      <c r="Y38" t="e" cm="1">
        <f t="array" aca="1" ref="Y38" ca="1">IF(W38&lt;&gt;"", SUMPRODUCT( (input!H:H=tipos_eqs!W38)*1 ), "")</f>
        <v>#NAME?</v>
      </c>
      <c r="Z38" t="e">
        <f ca="1"/>
        <v>#NAME?</v>
      </c>
      <c r="AA38" t="e">
        <f ca="1"/>
        <v>#NAME?</v>
      </c>
      <c r="AB38" t="e">
        <f ca="1"/>
        <v>#NAME?</v>
      </c>
      <c r="AC38" t="e">
        <f t="shared" ca="1" si="2"/>
        <v>#NAME?</v>
      </c>
      <c r="AD38" t="e">
        <f t="shared" ca="1" si="3"/>
        <v>#NAME?</v>
      </c>
      <c r="AE38" t="e">
        <f t="shared" ca="1" si="1"/>
        <v>#NAME?</v>
      </c>
      <c r="AF38" t="e">
        <f ca="1"/>
        <v>#NAME?</v>
      </c>
      <c r="AG38" t="e">
        <f ca="1"/>
        <v>#NAME?</v>
      </c>
      <c r="AH38" t="e">
        <f ca="1"/>
        <v>#NAME?</v>
      </c>
      <c r="AI38" t="e">
        <f ca="1"/>
        <v>#NAME?</v>
      </c>
      <c r="AJ38" t="e">
        <f ca="1"/>
        <v>#NAME?</v>
      </c>
      <c r="AK38" t="e">
        <f ca="1"/>
        <v>#NAME?</v>
      </c>
      <c r="AL38" t="e">
        <f ca="1"/>
        <v>#NAME?</v>
      </c>
      <c r="AM38" t="e">
        <f ca="1"/>
        <v>#NAME?</v>
      </c>
      <c r="AN38" t="e">
        <f ca="1"/>
        <v>#NAME?</v>
      </c>
      <c r="AO38" t="e">
        <f ca="1"/>
        <v>#NAME?</v>
      </c>
      <c r="AP38" t="e">
        <f ca="1"/>
        <v>#NAME?</v>
      </c>
      <c r="AQ38" t="e">
        <f ca="1"/>
        <v>#NAME?</v>
      </c>
      <c r="AR38" t="e">
        <f ca="1"/>
        <v>#NAME?</v>
      </c>
      <c r="AS38" t="e">
        <f ca="1"/>
        <v>#NAME?</v>
      </c>
      <c r="AT38" t="e">
        <f ca="1"/>
        <v>#NAME?</v>
      </c>
    </row>
    <row r="39" spans="1:46" x14ac:dyDescent="0.3">
      <c r="A39" s="26">
        <f ca="1"/>
        <v>37</v>
      </c>
      <c r="B39" s="28" t="s">
        <v>1295</v>
      </c>
      <c r="C39" s="28" t="s">
        <v>2482</v>
      </c>
      <c r="D39" s="31" t="str">
        <f ca="1"/>
        <v/>
      </c>
      <c r="F39">
        <f ca="1"/>
        <v>13</v>
      </c>
      <c r="G39">
        <f ca="1"/>
        <v>2</v>
      </c>
      <c r="H39" s="28" t="str">
        <f ca="1"/>
        <v>Espectrometro@@@@@@@@@@@@@@037</v>
      </c>
      <c r="I39" s="28" t="str">
        <f ca="1"/>
        <v>ES@037</v>
      </c>
      <c r="J39" s="28" t="e">
        <f ca="1"/>
        <v>#NAME?</v>
      </c>
      <c r="K39" s="28" t="e">
        <f ca="1"/>
        <v>#NAME?</v>
      </c>
      <c r="L39" s="28" t="e">
        <f ca="1"/>
        <v>#NAME?</v>
      </c>
      <c r="M39" s="28" t="e">
        <f ca="1"/>
        <v>#NAME?</v>
      </c>
      <c r="N39" t="e">
        <f ca="1"/>
        <v>#NAME?</v>
      </c>
      <c r="O39" t="e">
        <f ca="1"/>
        <v>#NAME?</v>
      </c>
      <c r="P39" t="str">
        <f ca="1"/>
        <v/>
      </c>
      <c r="Q39" t="str">
        <f ca="1"/>
        <v/>
      </c>
      <c r="R39">
        <f ca="1"/>
        <v>0</v>
      </c>
      <c r="S39" t="str">
        <f ca="1"/>
        <v>Espectrometro</v>
      </c>
      <c r="T39" t="str">
        <f ca="1"/>
        <v>ES</v>
      </c>
      <c r="U39" t="e">
        <f ca="1"/>
        <v>#NAME?</v>
      </c>
      <c r="V39" t="e">
        <f ca="1"/>
        <v>#NAME?</v>
      </c>
      <c r="W39" t="e">
        <f ca="1"/>
        <v>#NAME?</v>
      </c>
      <c r="X39" t="e">
        <f ca="1"/>
        <v>#NAME?</v>
      </c>
      <c r="Y39" t="e" cm="1">
        <f t="array" aca="1" ref="Y39" ca="1">IF(W39&lt;&gt;"", SUMPRODUCT( (input!H:H=tipos_eqs!W39)*1 ), "")</f>
        <v>#NAME?</v>
      </c>
      <c r="Z39" t="e">
        <f ca="1"/>
        <v>#NAME?</v>
      </c>
      <c r="AA39" t="e">
        <f ca="1"/>
        <v>#NAME?</v>
      </c>
      <c r="AB39" t="e">
        <f ca="1"/>
        <v>#NAME?</v>
      </c>
      <c r="AC39" t="e">
        <f t="shared" ca="1" si="2"/>
        <v>#NAME?</v>
      </c>
      <c r="AD39" t="e">
        <f t="shared" ca="1" si="3"/>
        <v>#NAME?</v>
      </c>
      <c r="AE39" t="e">
        <f t="shared" ca="1" si="1"/>
        <v>#NAME?</v>
      </c>
      <c r="AF39" t="e">
        <f ca="1"/>
        <v>#NAME?</v>
      </c>
      <c r="AG39" t="e">
        <f ca="1"/>
        <v>#NAME?</v>
      </c>
      <c r="AH39" t="e">
        <f ca="1"/>
        <v>#NAME?</v>
      </c>
      <c r="AI39" t="e">
        <f ca="1"/>
        <v>#NAME?</v>
      </c>
      <c r="AJ39" t="e">
        <f ca="1"/>
        <v>#NAME?</v>
      </c>
      <c r="AK39" t="e">
        <f ca="1"/>
        <v>#NAME?</v>
      </c>
      <c r="AL39" t="e">
        <f ca="1"/>
        <v>#NAME?</v>
      </c>
      <c r="AM39" t="e">
        <f ca="1"/>
        <v>#NAME?</v>
      </c>
      <c r="AN39" t="e">
        <f ca="1"/>
        <v>#NAME?</v>
      </c>
      <c r="AO39" t="e">
        <f ca="1"/>
        <v>#NAME?</v>
      </c>
      <c r="AP39" t="e">
        <f ca="1"/>
        <v>#NAME?</v>
      </c>
      <c r="AQ39" t="e">
        <f ca="1"/>
        <v>#NAME?</v>
      </c>
      <c r="AR39" t="e">
        <f ca="1"/>
        <v>#NAME?</v>
      </c>
      <c r="AS39" t="e">
        <f ca="1"/>
        <v>#NAME?</v>
      </c>
      <c r="AT39" t="e">
        <f ca="1"/>
        <v>#NAME?</v>
      </c>
    </row>
    <row r="40" spans="1:46" x14ac:dyDescent="0.3">
      <c r="A40" s="26">
        <f ca="1"/>
        <v>38</v>
      </c>
      <c r="B40" s="28" t="s">
        <v>491</v>
      </c>
      <c r="C40" s="28" t="s">
        <v>2483</v>
      </c>
      <c r="D40" s="31" t="str">
        <f ca="1"/>
        <v/>
      </c>
      <c r="F40">
        <f ca="1"/>
        <v>6</v>
      </c>
      <c r="G40">
        <f ca="1"/>
        <v>2</v>
      </c>
      <c r="H40" s="28" t="str">
        <f ca="1"/>
        <v>Estufa@@@@@@@@@@@@@@@@@@@@@038</v>
      </c>
      <c r="I40" s="28" t="str">
        <f ca="1"/>
        <v>ET@038</v>
      </c>
      <c r="J40" s="28" t="e">
        <f ca="1"/>
        <v>#NAME?</v>
      </c>
      <c r="K40" s="28" t="e">
        <f ca="1"/>
        <v>#NAME?</v>
      </c>
      <c r="L40" s="28" t="e">
        <f ca="1"/>
        <v>#NAME?</v>
      </c>
      <c r="M40" s="28" t="e">
        <f ca="1"/>
        <v>#NAME?</v>
      </c>
      <c r="N40" t="e">
        <f ca="1"/>
        <v>#NAME?</v>
      </c>
      <c r="O40" t="e">
        <f ca="1"/>
        <v>#NAME?</v>
      </c>
      <c r="P40" t="str">
        <f ca="1"/>
        <v/>
      </c>
      <c r="Q40" t="str">
        <f ca="1"/>
        <v/>
      </c>
      <c r="R40">
        <f ca="1"/>
        <v>0</v>
      </c>
      <c r="S40" t="str">
        <f ca="1"/>
        <v>Estufa</v>
      </c>
      <c r="T40" t="str">
        <f ca="1"/>
        <v>ET</v>
      </c>
      <c r="U40" t="e">
        <f ca="1"/>
        <v>#NAME?</v>
      </c>
      <c r="V40" t="e">
        <f ca="1"/>
        <v>#NAME?</v>
      </c>
      <c r="W40" t="e">
        <f ca="1"/>
        <v>#NAME?</v>
      </c>
      <c r="X40" t="e">
        <f ca="1"/>
        <v>#NAME?</v>
      </c>
      <c r="Y40" t="e" cm="1">
        <f t="array" aca="1" ref="Y40" ca="1">IF(W40&lt;&gt;"", SUMPRODUCT( (input!H:H=tipos_eqs!W40)*1 ), "")</f>
        <v>#NAME?</v>
      </c>
      <c r="Z40" t="e">
        <f ca="1"/>
        <v>#NAME?</v>
      </c>
      <c r="AA40" t="e">
        <f ca="1"/>
        <v>#NAME?</v>
      </c>
      <c r="AB40" t="e">
        <f ca="1"/>
        <v>#NAME?</v>
      </c>
      <c r="AC40" t="e">
        <f t="shared" ca="1" si="2"/>
        <v>#NAME?</v>
      </c>
      <c r="AD40" t="e">
        <f t="shared" ca="1" si="3"/>
        <v>#NAME?</v>
      </c>
      <c r="AE40" t="e">
        <f t="shared" ca="1" si="1"/>
        <v>#NAME?</v>
      </c>
      <c r="AF40" t="e">
        <f ca="1"/>
        <v>#NAME?</v>
      </c>
      <c r="AG40" t="e">
        <f ca="1"/>
        <v>#NAME?</v>
      </c>
      <c r="AH40" t="e">
        <f ca="1"/>
        <v>#NAME?</v>
      </c>
      <c r="AI40" t="e">
        <f ca="1"/>
        <v>#NAME?</v>
      </c>
      <c r="AJ40" t="e">
        <f ca="1"/>
        <v>#NAME?</v>
      </c>
      <c r="AK40" t="e">
        <f ca="1"/>
        <v>#NAME?</v>
      </c>
      <c r="AL40" t="e">
        <f ca="1"/>
        <v>#NAME?</v>
      </c>
      <c r="AM40" t="e">
        <f ca="1"/>
        <v>#NAME?</v>
      </c>
      <c r="AN40" t="e">
        <f ca="1"/>
        <v>#NAME?</v>
      </c>
      <c r="AO40" t="e">
        <f ca="1"/>
        <v>#NAME?</v>
      </c>
      <c r="AP40" t="e">
        <f ca="1"/>
        <v>#NAME?</v>
      </c>
      <c r="AQ40" t="e">
        <f ca="1"/>
        <v>#NAME?</v>
      </c>
      <c r="AR40" t="e">
        <f ca="1"/>
        <v>#NAME?</v>
      </c>
      <c r="AS40" t="e">
        <f ca="1"/>
        <v>#NAME?</v>
      </c>
      <c r="AT40" t="e">
        <f ca="1"/>
        <v>#NAME?</v>
      </c>
    </row>
    <row r="41" spans="1:46" x14ac:dyDescent="0.3">
      <c r="A41" s="26">
        <f ca="1"/>
        <v>39</v>
      </c>
      <c r="B41" s="28" t="s">
        <v>1047</v>
      </c>
      <c r="C41" s="28" t="s">
        <v>2484</v>
      </c>
      <c r="D41" s="31" t="str">
        <f ca="1"/>
        <v/>
      </c>
      <c r="F41">
        <f ca="1"/>
        <v>10</v>
      </c>
      <c r="G41">
        <f ca="1"/>
        <v>2</v>
      </c>
      <c r="H41" s="28" t="str">
        <f ca="1"/>
        <v>Evaporador@@@@@@@@@@@@@@@@@039</v>
      </c>
      <c r="I41" s="28" t="str">
        <f ca="1"/>
        <v>EV@039</v>
      </c>
      <c r="J41" s="28" t="e">
        <f ca="1"/>
        <v>#NAME?</v>
      </c>
      <c r="K41" s="28" t="e">
        <f ca="1"/>
        <v>#NAME?</v>
      </c>
      <c r="L41" s="28" t="e">
        <f ca="1"/>
        <v>#NAME?</v>
      </c>
      <c r="M41" s="28" t="e">
        <f ca="1"/>
        <v>#NAME?</v>
      </c>
      <c r="N41" t="e">
        <f ca="1"/>
        <v>#NAME?</v>
      </c>
      <c r="O41" t="e">
        <f ca="1"/>
        <v>#NAME?</v>
      </c>
      <c r="P41" t="str">
        <f ca="1"/>
        <v/>
      </c>
      <c r="Q41" t="str">
        <f ca="1"/>
        <v/>
      </c>
      <c r="R41">
        <f ca="1"/>
        <v>0</v>
      </c>
      <c r="S41" t="str">
        <f ca="1"/>
        <v>Evaporador</v>
      </c>
      <c r="T41" t="str">
        <f ca="1"/>
        <v>EV</v>
      </c>
      <c r="U41" t="e">
        <f ca="1"/>
        <v>#NAME?</v>
      </c>
      <c r="V41" t="e">
        <f ca="1"/>
        <v>#NAME?</v>
      </c>
      <c r="W41" t="e">
        <f ca="1"/>
        <v>#NAME?</v>
      </c>
      <c r="X41" t="e">
        <f ca="1"/>
        <v>#NAME?</v>
      </c>
      <c r="Y41" t="e" cm="1">
        <f t="array" aca="1" ref="Y41" ca="1">IF(W41&lt;&gt;"", SUMPRODUCT( (input!H:H=tipos_eqs!W41)*1 ), "")</f>
        <v>#NAME?</v>
      </c>
      <c r="Z41" t="e">
        <f ca="1"/>
        <v>#NAME?</v>
      </c>
      <c r="AA41" t="e">
        <f ca="1"/>
        <v>#NAME?</v>
      </c>
      <c r="AB41" t="e">
        <f ca="1"/>
        <v>#NAME?</v>
      </c>
      <c r="AC41" t="e">
        <f t="shared" ca="1" si="2"/>
        <v>#NAME?</v>
      </c>
      <c r="AD41" t="e">
        <f t="shared" ca="1" si="3"/>
        <v>#NAME?</v>
      </c>
      <c r="AE41" t="e">
        <f t="shared" ca="1" si="1"/>
        <v>#NAME?</v>
      </c>
      <c r="AF41" t="e">
        <f ca="1"/>
        <v>#NAME?</v>
      </c>
      <c r="AG41" t="e">
        <f ca="1"/>
        <v>#NAME?</v>
      </c>
      <c r="AH41" t="e">
        <f ca="1"/>
        <v>#NAME?</v>
      </c>
      <c r="AI41" t="e">
        <f ca="1"/>
        <v>#NAME?</v>
      </c>
      <c r="AJ41" t="e">
        <f ca="1"/>
        <v>#NAME?</v>
      </c>
      <c r="AK41" t="e">
        <f ca="1"/>
        <v>#NAME?</v>
      </c>
      <c r="AL41" t="e">
        <f ca="1"/>
        <v>#NAME?</v>
      </c>
      <c r="AM41" t="e">
        <f ca="1"/>
        <v>#NAME?</v>
      </c>
      <c r="AN41" t="e">
        <f ca="1"/>
        <v>#NAME?</v>
      </c>
      <c r="AO41" t="e">
        <f ca="1"/>
        <v>#NAME?</v>
      </c>
      <c r="AP41" t="e">
        <f ca="1"/>
        <v>#NAME?</v>
      </c>
      <c r="AQ41" t="e">
        <f ca="1"/>
        <v>#NAME?</v>
      </c>
      <c r="AR41" t="e">
        <f ca="1"/>
        <v>#NAME?</v>
      </c>
      <c r="AS41" t="e">
        <f ca="1"/>
        <v>#NAME?</v>
      </c>
      <c r="AT41" t="e">
        <f ca="1"/>
        <v>#NAME?</v>
      </c>
    </row>
    <row r="42" spans="1:46" x14ac:dyDescent="0.3">
      <c r="A42" s="26">
        <f ca="1"/>
        <v>40</v>
      </c>
      <c r="B42" s="28" t="s">
        <v>40</v>
      </c>
      <c r="C42" s="28" t="s">
        <v>2485</v>
      </c>
      <c r="D42" s="31" t="str">
        <f ca="1"/>
        <v/>
      </c>
      <c r="F42">
        <f ca="1"/>
        <v>11</v>
      </c>
      <c r="G42">
        <f ca="1"/>
        <v>2</v>
      </c>
      <c r="H42" s="28" t="str">
        <f ca="1"/>
        <v>Ferramentas@@@@@@@@@@@@@@@@040</v>
      </c>
      <c r="I42" s="28" t="str">
        <f ca="1"/>
        <v>FE@040</v>
      </c>
      <c r="J42" s="28" t="e">
        <f ca="1"/>
        <v>#NAME?</v>
      </c>
      <c r="K42" s="28" t="e">
        <f ca="1"/>
        <v>#NAME?</v>
      </c>
      <c r="L42" s="28" t="e">
        <f ca="1"/>
        <v>#NAME?</v>
      </c>
      <c r="M42" s="28" t="e">
        <f ca="1"/>
        <v>#NAME?</v>
      </c>
      <c r="N42" t="e">
        <f ca="1"/>
        <v>#NAME?</v>
      </c>
      <c r="O42" t="e">
        <f ca="1"/>
        <v>#NAME?</v>
      </c>
      <c r="P42" t="str">
        <f ca="1"/>
        <v/>
      </c>
      <c r="Q42" t="str">
        <f ca="1"/>
        <v/>
      </c>
      <c r="R42">
        <f ca="1"/>
        <v>0</v>
      </c>
      <c r="S42" t="str">
        <f ca="1"/>
        <v>Ferramentas</v>
      </c>
      <c r="T42" t="str">
        <f ca="1"/>
        <v>FE</v>
      </c>
      <c r="U42" t="e">
        <f ca="1"/>
        <v>#NAME?</v>
      </c>
      <c r="V42" t="e">
        <f ca="1"/>
        <v>#NAME?</v>
      </c>
      <c r="W42" t="e">
        <f ca="1"/>
        <v>#NAME?</v>
      </c>
      <c r="X42" t="e">
        <f ca="1"/>
        <v>#NAME?</v>
      </c>
      <c r="Y42" t="e" cm="1">
        <f t="array" aca="1" ref="Y42" ca="1">IF(W42&lt;&gt;"", SUMPRODUCT( (input!H:H=tipos_eqs!W42)*1 ), "")</f>
        <v>#NAME?</v>
      </c>
      <c r="Z42" t="e">
        <f ca="1"/>
        <v>#NAME?</v>
      </c>
      <c r="AA42" t="e">
        <f ca="1"/>
        <v>#NAME?</v>
      </c>
      <c r="AB42" t="e">
        <f ca="1"/>
        <v>#NAME?</v>
      </c>
      <c r="AC42" t="e">
        <f t="shared" ca="1" si="2"/>
        <v>#NAME?</v>
      </c>
      <c r="AD42" t="e">
        <f t="shared" ca="1" si="3"/>
        <v>#NAME?</v>
      </c>
      <c r="AE42" t="e">
        <f t="shared" ca="1" si="1"/>
        <v>#NAME?</v>
      </c>
      <c r="AF42" t="e">
        <f ca="1"/>
        <v>#NAME?</v>
      </c>
      <c r="AG42" t="e">
        <f ca="1"/>
        <v>#NAME?</v>
      </c>
      <c r="AH42" t="e">
        <f ca="1"/>
        <v>#NAME?</v>
      </c>
      <c r="AI42" t="e">
        <f ca="1"/>
        <v>#NAME?</v>
      </c>
      <c r="AJ42" t="e">
        <f ca="1"/>
        <v>#NAME?</v>
      </c>
      <c r="AK42" t="e">
        <f ca="1"/>
        <v>#NAME?</v>
      </c>
      <c r="AL42" t="e">
        <f ca="1"/>
        <v>#NAME?</v>
      </c>
      <c r="AM42" t="e">
        <f ca="1"/>
        <v>#NAME?</v>
      </c>
      <c r="AN42" t="e">
        <f ca="1"/>
        <v>#NAME?</v>
      </c>
      <c r="AO42" t="e">
        <f ca="1"/>
        <v>#NAME?</v>
      </c>
      <c r="AP42" t="e">
        <f ca="1"/>
        <v>#NAME?</v>
      </c>
      <c r="AQ42" t="e">
        <f ca="1"/>
        <v>#NAME?</v>
      </c>
      <c r="AR42" t="e">
        <f ca="1"/>
        <v>#NAME?</v>
      </c>
      <c r="AS42" t="e">
        <f ca="1"/>
        <v>#NAME?</v>
      </c>
      <c r="AT42" t="e">
        <f ca="1"/>
        <v>#NAME?</v>
      </c>
    </row>
    <row r="43" spans="1:46" x14ac:dyDescent="0.3">
      <c r="A43" s="26">
        <f ca="1"/>
        <v>41</v>
      </c>
      <c r="B43" s="28" t="s">
        <v>478</v>
      </c>
      <c r="C43" s="28" t="s">
        <v>2486</v>
      </c>
      <c r="D43" s="31" t="str">
        <f ca="1"/>
        <v/>
      </c>
      <c r="F43">
        <f ca="1"/>
        <v>6</v>
      </c>
      <c r="G43">
        <f ca="1"/>
        <v>2</v>
      </c>
      <c r="H43" s="28" t="str">
        <f ca="1"/>
        <v>Filtro@@@@@@@@@@@@@@@@@@@@@041</v>
      </c>
      <c r="I43" s="28" t="str">
        <f ca="1"/>
        <v>FI@041</v>
      </c>
      <c r="J43" s="28" t="e">
        <f ca="1"/>
        <v>#NAME?</v>
      </c>
      <c r="K43" s="28" t="e">
        <f ca="1"/>
        <v>#NAME?</v>
      </c>
      <c r="L43" s="28" t="e">
        <f ca="1"/>
        <v>#NAME?</v>
      </c>
      <c r="M43" s="28" t="e">
        <f ca="1"/>
        <v>#NAME?</v>
      </c>
      <c r="N43" t="e">
        <f ca="1"/>
        <v>#NAME?</v>
      </c>
      <c r="O43" t="e">
        <f ca="1"/>
        <v>#NAME?</v>
      </c>
      <c r="P43" t="str">
        <f ca="1"/>
        <v/>
      </c>
      <c r="Q43" t="str">
        <f ca="1"/>
        <v/>
      </c>
      <c r="R43">
        <f ca="1"/>
        <v>0</v>
      </c>
      <c r="S43" t="str">
        <f ca="1"/>
        <v>Filtro</v>
      </c>
      <c r="T43" t="str">
        <f ca="1"/>
        <v>FI</v>
      </c>
      <c r="U43" t="e">
        <f ca="1"/>
        <v>#NAME?</v>
      </c>
      <c r="V43" t="e">
        <f ca="1"/>
        <v>#NAME?</v>
      </c>
      <c r="W43" t="e">
        <f ca="1"/>
        <v>#NAME?</v>
      </c>
      <c r="X43" t="e">
        <f ca="1"/>
        <v>#NAME?</v>
      </c>
      <c r="Y43" t="e" cm="1">
        <f t="array" aca="1" ref="Y43" ca="1">IF(W43&lt;&gt;"", SUMPRODUCT( (input!H:H=tipos_eqs!W43)*1 ), "")</f>
        <v>#NAME?</v>
      </c>
      <c r="Z43" t="e">
        <f ca="1"/>
        <v>#NAME?</v>
      </c>
      <c r="AA43" t="e">
        <f ca="1"/>
        <v>#NAME?</v>
      </c>
      <c r="AB43" t="e">
        <f ca="1"/>
        <v>#NAME?</v>
      </c>
      <c r="AC43" t="e">
        <f t="shared" ca="1" si="2"/>
        <v>#NAME?</v>
      </c>
      <c r="AD43" t="e">
        <f t="shared" ca="1" si="3"/>
        <v>#NAME?</v>
      </c>
      <c r="AE43" t="e">
        <f t="shared" ca="1" si="1"/>
        <v>#NAME?</v>
      </c>
      <c r="AF43" t="e">
        <f ca="1"/>
        <v>#NAME?</v>
      </c>
      <c r="AG43" t="e">
        <f ca="1"/>
        <v>#NAME?</v>
      </c>
      <c r="AH43" t="e">
        <f ca="1"/>
        <v>#NAME?</v>
      </c>
      <c r="AI43" t="e">
        <f ca="1"/>
        <v>#NAME?</v>
      </c>
      <c r="AJ43" t="e">
        <f ca="1"/>
        <v>#NAME?</v>
      </c>
      <c r="AK43" t="e">
        <f ca="1"/>
        <v>#NAME?</v>
      </c>
      <c r="AL43" t="e">
        <f ca="1"/>
        <v>#NAME?</v>
      </c>
      <c r="AM43" t="e">
        <f ca="1"/>
        <v>#NAME?</v>
      </c>
      <c r="AN43" t="e">
        <f ca="1"/>
        <v>#NAME?</v>
      </c>
      <c r="AO43" t="e">
        <f ca="1"/>
        <v>#NAME?</v>
      </c>
      <c r="AP43" t="e">
        <f ca="1"/>
        <v>#NAME?</v>
      </c>
      <c r="AQ43" t="e">
        <f ca="1"/>
        <v>#NAME?</v>
      </c>
      <c r="AR43" t="e">
        <f ca="1"/>
        <v>#NAME?</v>
      </c>
      <c r="AS43" t="e">
        <f ca="1"/>
        <v>#NAME?</v>
      </c>
      <c r="AT43" t="e">
        <f ca="1"/>
        <v>#NAME?</v>
      </c>
    </row>
    <row r="44" spans="1:46" x14ac:dyDescent="0.3">
      <c r="A44" s="26">
        <f ca="1"/>
        <v>42</v>
      </c>
      <c r="B44" s="28" t="s">
        <v>464</v>
      </c>
      <c r="C44" s="28" t="s">
        <v>2487</v>
      </c>
      <c r="D44" s="31" t="str">
        <f ca="1"/>
        <v/>
      </c>
      <c r="F44">
        <f ca="1"/>
        <v>5</v>
      </c>
      <c r="G44">
        <f ca="1"/>
        <v>2</v>
      </c>
      <c r="H44" s="28" t="str">
        <f ca="1"/>
        <v>Forno@@@@@@@@@@@@@@@@@@@@@@042</v>
      </c>
      <c r="I44" s="28" t="str">
        <f ca="1"/>
        <v>FO@042</v>
      </c>
      <c r="J44" s="28" t="e">
        <f ca="1"/>
        <v>#NAME?</v>
      </c>
      <c r="K44" s="28" t="e">
        <f ca="1"/>
        <v>#NAME?</v>
      </c>
      <c r="L44" s="28" t="e">
        <f ca="1"/>
        <v>#NAME?</v>
      </c>
      <c r="M44" s="28" t="e">
        <f ca="1"/>
        <v>#NAME?</v>
      </c>
      <c r="N44" t="e">
        <f ca="1"/>
        <v>#NAME?</v>
      </c>
      <c r="O44" t="e">
        <f ca="1"/>
        <v>#NAME?</v>
      </c>
      <c r="P44" t="str">
        <f ca="1"/>
        <v/>
      </c>
      <c r="Q44" t="str">
        <f ca="1"/>
        <v/>
      </c>
      <c r="R44">
        <f ca="1"/>
        <v>0</v>
      </c>
      <c r="S44" t="str">
        <f ca="1"/>
        <v>Forno</v>
      </c>
      <c r="T44" t="str">
        <f ca="1"/>
        <v>FO</v>
      </c>
      <c r="U44" t="e">
        <f ca="1"/>
        <v>#NAME?</v>
      </c>
      <c r="V44" t="e">
        <f ca="1"/>
        <v>#NAME?</v>
      </c>
      <c r="W44" t="e">
        <f ca="1"/>
        <v>#NAME?</v>
      </c>
      <c r="X44" t="e">
        <f ca="1"/>
        <v>#NAME?</v>
      </c>
      <c r="Y44" t="e" cm="1">
        <f t="array" aca="1" ref="Y44" ca="1">IF(W44&lt;&gt;"", SUMPRODUCT( (input!H:H=tipos_eqs!W44)*1 ), "")</f>
        <v>#NAME?</v>
      </c>
      <c r="Z44" t="e">
        <f ca="1"/>
        <v>#NAME?</v>
      </c>
      <c r="AA44" t="e">
        <f ca="1"/>
        <v>#NAME?</v>
      </c>
      <c r="AB44" t="e">
        <f ca="1"/>
        <v>#NAME?</v>
      </c>
      <c r="AC44" t="e">
        <f t="shared" ca="1" si="2"/>
        <v>#NAME?</v>
      </c>
      <c r="AD44" t="e">
        <f t="shared" ca="1" si="3"/>
        <v>#NAME?</v>
      </c>
      <c r="AE44" t="e">
        <f t="shared" ca="1" si="1"/>
        <v>#NAME?</v>
      </c>
      <c r="AF44" t="e">
        <f ca="1"/>
        <v>#NAME?</v>
      </c>
      <c r="AG44" t="e">
        <f ca="1"/>
        <v>#NAME?</v>
      </c>
      <c r="AH44" t="e">
        <f ca="1"/>
        <v>#NAME?</v>
      </c>
      <c r="AI44" t="e">
        <f ca="1"/>
        <v>#NAME?</v>
      </c>
      <c r="AJ44" t="e">
        <f ca="1"/>
        <v>#NAME?</v>
      </c>
      <c r="AK44" t="e">
        <f ca="1"/>
        <v>#NAME?</v>
      </c>
      <c r="AL44" t="e">
        <f ca="1"/>
        <v>#NAME?</v>
      </c>
      <c r="AM44" t="e">
        <f ca="1"/>
        <v>#NAME?</v>
      </c>
      <c r="AN44" t="e">
        <f ca="1"/>
        <v>#NAME?</v>
      </c>
      <c r="AO44" t="e">
        <f ca="1"/>
        <v>#NAME?</v>
      </c>
      <c r="AP44" t="e">
        <f ca="1"/>
        <v>#NAME?</v>
      </c>
      <c r="AQ44" t="e">
        <f ca="1"/>
        <v>#NAME?</v>
      </c>
      <c r="AR44" t="e">
        <f ca="1"/>
        <v>#NAME?</v>
      </c>
      <c r="AS44" t="e">
        <f ca="1"/>
        <v>#NAME?</v>
      </c>
      <c r="AT44" t="e">
        <f ca="1"/>
        <v>#NAME?</v>
      </c>
    </row>
    <row r="45" spans="1:46" x14ac:dyDescent="0.3">
      <c r="A45" s="26">
        <f ca="1"/>
        <v>43</v>
      </c>
      <c r="B45" s="28" t="s">
        <v>2130</v>
      </c>
      <c r="C45" s="28" t="s">
        <v>2488</v>
      </c>
      <c r="D45" s="31" t="str">
        <f ca="1"/>
        <v/>
      </c>
      <c r="F45">
        <f ca="1"/>
        <v>9</v>
      </c>
      <c r="G45">
        <f ca="1"/>
        <v>2</v>
      </c>
      <c r="H45" s="28" t="str">
        <f ca="1"/>
        <v>Laminador@@@@@@@@@@@@@@@@@@043</v>
      </c>
      <c r="I45" s="28" t="str">
        <f ca="1"/>
        <v>LM@043</v>
      </c>
      <c r="J45" s="28" t="e">
        <f ca="1"/>
        <v>#NAME?</v>
      </c>
      <c r="K45" s="28" t="e">
        <f ca="1"/>
        <v>#NAME?</v>
      </c>
      <c r="L45" s="28" t="e">
        <f ca="1"/>
        <v>#NAME?</v>
      </c>
      <c r="M45" s="28" t="e">
        <f ca="1"/>
        <v>#NAME?</v>
      </c>
      <c r="N45" t="e">
        <f ca="1"/>
        <v>#NAME?</v>
      </c>
      <c r="O45" t="e">
        <f ca="1"/>
        <v>#NAME?</v>
      </c>
      <c r="P45" t="str">
        <f ca="1"/>
        <v/>
      </c>
      <c r="Q45" t="str">
        <f ca="1"/>
        <v/>
      </c>
      <c r="R45">
        <f ca="1"/>
        <v>0</v>
      </c>
      <c r="S45" t="str">
        <f ca="1"/>
        <v>Laminador</v>
      </c>
      <c r="T45" t="str">
        <f ca="1"/>
        <v>LM</v>
      </c>
      <c r="U45" t="e">
        <f ca="1"/>
        <v>#NAME?</v>
      </c>
      <c r="V45" t="e">
        <f ca="1"/>
        <v>#NAME?</v>
      </c>
      <c r="W45" t="e">
        <f ca="1"/>
        <v>#NAME?</v>
      </c>
      <c r="X45" t="e">
        <f ca="1"/>
        <v>#NAME?</v>
      </c>
      <c r="Y45" t="e" cm="1">
        <f t="array" aca="1" ref="Y45" ca="1">IF(W45&lt;&gt;"", SUMPRODUCT( (input!H:H=tipos_eqs!W45)*1 ), "")</f>
        <v>#NAME?</v>
      </c>
      <c r="Z45" t="e">
        <f ca="1"/>
        <v>#NAME?</v>
      </c>
      <c r="AA45" t="e">
        <f ca="1"/>
        <v>#NAME?</v>
      </c>
      <c r="AB45" t="e">
        <f ca="1"/>
        <v>#NAME?</v>
      </c>
      <c r="AC45" t="e">
        <f t="shared" ca="1" si="2"/>
        <v>#NAME?</v>
      </c>
      <c r="AD45" t="e">
        <f t="shared" ca="1" si="3"/>
        <v>#NAME?</v>
      </c>
      <c r="AE45" t="e">
        <f t="shared" ca="1" si="1"/>
        <v>#NAME?</v>
      </c>
      <c r="AF45" t="e">
        <f ca="1"/>
        <v>#NAME?</v>
      </c>
      <c r="AG45" t="e">
        <f ca="1"/>
        <v>#NAME?</v>
      </c>
      <c r="AH45" t="e">
        <f ca="1"/>
        <v>#NAME?</v>
      </c>
      <c r="AI45" t="e">
        <f ca="1"/>
        <v>#NAME?</v>
      </c>
      <c r="AJ45" t="e">
        <f ca="1"/>
        <v>#NAME?</v>
      </c>
      <c r="AK45" t="e">
        <f ca="1"/>
        <v>#NAME?</v>
      </c>
      <c r="AL45" t="e">
        <f ca="1"/>
        <v>#NAME?</v>
      </c>
      <c r="AM45" t="e">
        <f ca="1"/>
        <v>#NAME?</v>
      </c>
      <c r="AN45" t="e">
        <f ca="1"/>
        <v>#NAME?</v>
      </c>
      <c r="AO45" t="e">
        <f ca="1"/>
        <v>#NAME?</v>
      </c>
      <c r="AP45" t="e">
        <f ca="1"/>
        <v>#NAME?</v>
      </c>
      <c r="AQ45" t="e">
        <f ca="1"/>
        <v>#NAME?</v>
      </c>
      <c r="AR45" t="e">
        <f ca="1"/>
        <v>#NAME?</v>
      </c>
      <c r="AS45" t="e">
        <f ca="1"/>
        <v>#NAME?</v>
      </c>
      <c r="AT45" t="e">
        <f ca="1"/>
        <v>#NAME?</v>
      </c>
    </row>
    <row r="46" spans="1:46" x14ac:dyDescent="0.3">
      <c r="A46" s="26">
        <f ca="1"/>
        <v>44</v>
      </c>
      <c r="B46" s="28" t="s">
        <v>458</v>
      </c>
      <c r="C46" s="28" t="s">
        <v>2489</v>
      </c>
      <c r="D46" s="31" t="str">
        <f ca="1"/>
        <v/>
      </c>
      <c r="F46">
        <f ca="1"/>
        <v>8</v>
      </c>
      <c r="G46">
        <f ca="1"/>
        <v>2</v>
      </c>
      <c r="H46" s="28" t="str">
        <f ca="1"/>
        <v>Lavadora@@@@@@@@@@@@@@@@@@@044</v>
      </c>
      <c r="I46" s="28" t="str">
        <f ca="1"/>
        <v>LV@044</v>
      </c>
      <c r="J46" s="28" t="e">
        <f ca="1"/>
        <v>#NAME?</v>
      </c>
      <c r="K46" s="28" t="e">
        <f ca="1"/>
        <v>#NAME?</v>
      </c>
      <c r="L46" s="28" t="e">
        <f ca="1"/>
        <v>#NAME?</v>
      </c>
      <c r="M46" s="28" t="e">
        <f ca="1"/>
        <v>#NAME?</v>
      </c>
      <c r="N46" t="e">
        <f ca="1"/>
        <v>#NAME?</v>
      </c>
      <c r="O46" t="e">
        <f ca="1"/>
        <v>#NAME?</v>
      </c>
      <c r="P46" t="str">
        <f ca="1"/>
        <v/>
      </c>
      <c r="Q46" t="str">
        <f ca="1"/>
        <v/>
      </c>
      <c r="R46">
        <f ca="1"/>
        <v>0</v>
      </c>
      <c r="S46" t="str">
        <f ca="1"/>
        <v>Lavadora</v>
      </c>
      <c r="T46" t="str">
        <f ca="1"/>
        <v>LV</v>
      </c>
      <c r="U46" t="e">
        <f ca="1"/>
        <v>#NAME?</v>
      </c>
      <c r="V46" t="e">
        <f ca="1"/>
        <v>#NAME?</v>
      </c>
      <c r="W46" t="e">
        <f ca="1"/>
        <v>#NAME?</v>
      </c>
      <c r="X46" t="e">
        <f ca="1"/>
        <v>#NAME?</v>
      </c>
      <c r="Y46" t="e" cm="1">
        <f t="array" aca="1" ref="Y46" ca="1">IF(W46&lt;&gt;"", SUMPRODUCT( (input!H:H=tipos_eqs!W46)*1 ), "")</f>
        <v>#NAME?</v>
      </c>
      <c r="Z46" t="e">
        <f ca="1"/>
        <v>#NAME?</v>
      </c>
      <c r="AA46" t="e">
        <f ca="1"/>
        <v>#NAME?</v>
      </c>
      <c r="AB46" t="e">
        <f ca="1"/>
        <v>#NAME?</v>
      </c>
      <c r="AC46" t="e">
        <f t="shared" ca="1" si="2"/>
        <v>#NAME?</v>
      </c>
      <c r="AD46" t="e">
        <f t="shared" ca="1" si="3"/>
        <v>#NAME?</v>
      </c>
      <c r="AE46" t="e">
        <f t="shared" ca="1" si="1"/>
        <v>#NAME?</v>
      </c>
      <c r="AF46" t="e">
        <f ca="1"/>
        <v>#NAME?</v>
      </c>
      <c r="AG46" t="e">
        <f ca="1"/>
        <v>#NAME?</v>
      </c>
      <c r="AH46" t="e">
        <f ca="1"/>
        <v>#NAME?</v>
      </c>
      <c r="AI46" t="e">
        <f ca="1"/>
        <v>#NAME?</v>
      </c>
      <c r="AJ46" t="e">
        <f ca="1"/>
        <v>#NAME?</v>
      </c>
      <c r="AK46" t="e">
        <f ca="1"/>
        <v>#NAME?</v>
      </c>
      <c r="AL46" t="e">
        <f ca="1"/>
        <v>#NAME?</v>
      </c>
      <c r="AM46" t="e">
        <f ca="1"/>
        <v>#NAME?</v>
      </c>
      <c r="AN46" t="e">
        <f ca="1"/>
        <v>#NAME?</v>
      </c>
      <c r="AO46" t="e">
        <f ca="1"/>
        <v>#NAME?</v>
      </c>
      <c r="AP46" t="e">
        <f ca="1"/>
        <v>#NAME?</v>
      </c>
      <c r="AQ46" t="e">
        <f ca="1"/>
        <v>#NAME?</v>
      </c>
      <c r="AR46" t="e">
        <f ca="1"/>
        <v>#NAME?</v>
      </c>
      <c r="AS46" t="e">
        <f ca="1"/>
        <v>#NAME?</v>
      </c>
      <c r="AT46" t="e">
        <f ca="1"/>
        <v>#NAME?</v>
      </c>
    </row>
    <row r="47" spans="1:46" x14ac:dyDescent="0.3">
      <c r="A47" s="26">
        <f ca="1"/>
        <v>45</v>
      </c>
      <c r="B47" s="28" t="s">
        <v>1937</v>
      </c>
      <c r="C47" s="28" t="s">
        <v>2490</v>
      </c>
      <c r="D47" s="31" t="str">
        <f ca="1"/>
        <v/>
      </c>
      <c r="F47">
        <f ca="1"/>
        <v>9</v>
      </c>
      <c r="G47">
        <f ca="1"/>
        <v>2</v>
      </c>
      <c r="H47" s="28" t="str">
        <f ca="1"/>
        <v>Lixadeira@@@@@@@@@@@@@@@@@@045</v>
      </c>
      <c r="I47" s="28" t="str">
        <f ca="1"/>
        <v>LX@045</v>
      </c>
      <c r="J47" s="28" t="e">
        <f ca="1"/>
        <v>#NAME?</v>
      </c>
      <c r="K47" s="28" t="e">
        <f ca="1"/>
        <v>#NAME?</v>
      </c>
      <c r="L47" s="28" t="e">
        <f ca="1"/>
        <v>#NAME?</v>
      </c>
      <c r="M47" s="28" t="e">
        <f ca="1"/>
        <v>#NAME?</v>
      </c>
      <c r="N47" t="e">
        <f ca="1"/>
        <v>#NAME?</v>
      </c>
      <c r="O47" t="e">
        <f ca="1"/>
        <v>#NAME?</v>
      </c>
      <c r="P47" t="str">
        <f ca="1"/>
        <v/>
      </c>
      <c r="Q47" t="str">
        <f ca="1"/>
        <v/>
      </c>
      <c r="R47">
        <f ca="1"/>
        <v>0</v>
      </c>
      <c r="S47" t="str">
        <f ca="1"/>
        <v>Lixadeira</v>
      </c>
      <c r="T47" t="str">
        <f ca="1"/>
        <v>LX</v>
      </c>
      <c r="U47" t="e">
        <f ca="1"/>
        <v>#NAME?</v>
      </c>
      <c r="V47" t="e">
        <f ca="1"/>
        <v>#NAME?</v>
      </c>
      <c r="W47" t="e">
        <f ca="1"/>
        <v>#NAME?</v>
      </c>
      <c r="X47" t="e">
        <f ca="1"/>
        <v>#NAME?</v>
      </c>
      <c r="Y47" t="e" cm="1">
        <f t="array" aca="1" ref="Y47" ca="1">IF(W47&lt;&gt;"", SUMPRODUCT( (input!H:H=tipos_eqs!W47)*1 ), "")</f>
        <v>#NAME?</v>
      </c>
      <c r="Z47" t="e">
        <f ca="1"/>
        <v>#NAME?</v>
      </c>
      <c r="AA47" t="e">
        <f ca="1"/>
        <v>#NAME?</v>
      </c>
      <c r="AB47" t="e">
        <f ca="1"/>
        <v>#NAME?</v>
      </c>
      <c r="AC47" t="e">
        <f t="shared" ca="1" si="2"/>
        <v>#NAME?</v>
      </c>
      <c r="AD47" t="e">
        <f t="shared" ca="1" si="3"/>
        <v>#NAME?</v>
      </c>
      <c r="AE47" t="e">
        <f t="shared" ca="1" si="1"/>
        <v>#NAME?</v>
      </c>
      <c r="AF47" t="e">
        <f ca="1"/>
        <v>#NAME?</v>
      </c>
      <c r="AG47" t="e">
        <f ca="1"/>
        <v>#NAME?</v>
      </c>
      <c r="AH47" t="e">
        <f ca="1"/>
        <v>#NAME?</v>
      </c>
      <c r="AI47" t="e">
        <f ca="1"/>
        <v>#NAME?</v>
      </c>
      <c r="AJ47" t="e">
        <f ca="1"/>
        <v>#NAME?</v>
      </c>
      <c r="AK47" t="e">
        <f ca="1"/>
        <v>#NAME?</v>
      </c>
      <c r="AL47" t="e">
        <f ca="1"/>
        <v>#NAME?</v>
      </c>
      <c r="AM47" t="e">
        <f ca="1"/>
        <v>#NAME?</v>
      </c>
      <c r="AN47" t="e">
        <f ca="1"/>
        <v>#NAME?</v>
      </c>
      <c r="AO47" t="e">
        <f ca="1"/>
        <v>#NAME?</v>
      </c>
      <c r="AP47" t="e">
        <f ca="1"/>
        <v>#NAME?</v>
      </c>
      <c r="AQ47" t="e">
        <f ca="1"/>
        <v>#NAME?</v>
      </c>
      <c r="AR47" t="e">
        <f ca="1"/>
        <v>#NAME?</v>
      </c>
      <c r="AS47" t="e">
        <f ca="1"/>
        <v>#NAME?</v>
      </c>
      <c r="AT47" t="e">
        <f ca="1"/>
        <v>#NAME?</v>
      </c>
    </row>
    <row r="48" spans="1:46" x14ac:dyDescent="0.3">
      <c r="A48" s="26">
        <f ca="1"/>
        <v>46</v>
      </c>
      <c r="B48" s="28" t="s">
        <v>1998</v>
      </c>
      <c r="C48" s="28" t="s">
        <v>1425</v>
      </c>
      <c r="D48" s="31" t="str">
        <f ca="1"/>
        <v/>
      </c>
      <c r="F48">
        <f ca="1"/>
        <v>4</v>
      </c>
      <c r="G48">
        <f ca="1"/>
        <v>2</v>
      </c>
      <c r="H48" s="28" t="str">
        <f ca="1"/>
        <v>Lupa@@@@@@@@@@@@@@@@@@@@@@@046</v>
      </c>
      <c r="I48" s="28" t="str">
        <f ca="1"/>
        <v>LU@046</v>
      </c>
      <c r="J48" s="28" t="e">
        <f ca="1"/>
        <v>#NAME?</v>
      </c>
      <c r="K48" s="28" t="e">
        <f ca="1"/>
        <v>#NAME?</v>
      </c>
      <c r="L48" s="28" t="e">
        <f ca="1"/>
        <v>#NAME?</v>
      </c>
      <c r="M48" s="28" t="e">
        <f ca="1"/>
        <v>#NAME?</v>
      </c>
      <c r="N48" t="e">
        <f ca="1"/>
        <v>#NAME?</v>
      </c>
      <c r="O48" t="e">
        <f ca="1"/>
        <v>#NAME?</v>
      </c>
      <c r="P48" t="str">
        <f ca="1"/>
        <v/>
      </c>
      <c r="Q48" t="str">
        <f ca="1"/>
        <v/>
      </c>
      <c r="R48">
        <f ca="1"/>
        <v>0</v>
      </c>
      <c r="S48" t="str">
        <f ca="1"/>
        <v>Lupa</v>
      </c>
      <c r="T48" t="str">
        <f ca="1"/>
        <v>LU</v>
      </c>
      <c r="U48" t="e">
        <f ca="1"/>
        <v>#NAME?</v>
      </c>
      <c r="V48" t="e">
        <f ca="1"/>
        <v>#NAME?</v>
      </c>
      <c r="W48" t="e">
        <f ca="1"/>
        <v>#NAME?</v>
      </c>
      <c r="X48" t="e">
        <f ca="1"/>
        <v>#NAME?</v>
      </c>
      <c r="Y48" t="e" cm="1">
        <f t="array" aca="1" ref="Y48" ca="1">IF(W48&lt;&gt;"", SUMPRODUCT( (input!H:H=tipos_eqs!W48)*1 ), "")</f>
        <v>#NAME?</v>
      </c>
      <c r="Z48" t="e">
        <f ca="1"/>
        <v>#NAME?</v>
      </c>
      <c r="AA48" t="e">
        <f ca="1"/>
        <v>#NAME?</v>
      </c>
      <c r="AB48" t="e">
        <f ca="1"/>
        <v>#NAME?</v>
      </c>
      <c r="AC48" t="e">
        <f t="shared" ca="1" si="2"/>
        <v>#NAME?</v>
      </c>
      <c r="AD48" t="e">
        <f t="shared" ca="1" si="3"/>
        <v>#NAME?</v>
      </c>
      <c r="AE48" t="e">
        <f t="shared" ca="1" si="1"/>
        <v>#NAME?</v>
      </c>
      <c r="AF48" t="e">
        <f ca="1"/>
        <v>#NAME?</v>
      </c>
      <c r="AG48" t="e">
        <f ca="1"/>
        <v>#NAME?</v>
      </c>
      <c r="AH48" t="e">
        <f ca="1"/>
        <v>#NAME?</v>
      </c>
      <c r="AI48" t="e">
        <f ca="1"/>
        <v>#NAME?</v>
      </c>
      <c r="AJ48" t="e">
        <f ca="1"/>
        <v>#NAME?</v>
      </c>
      <c r="AK48" t="e">
        <f ca="1"/>
        <v>#NAME?</v>
      </c>
      <c r="AL48" t="e">
        <f ca="1"/>
        <v>#NAME?</v>
      </c>
      <c r="AM48" t="e">
        <f ca="1"/>
        <v>#NAME?</v>
      </c>
      <c r="AN48" t="e">
        <f ca="1"/>
        <v>#NAME?</v>
      </c>
      <c r="AO48" t="e">
        <f ca="1"/>
        <v>#NAME?</v>
      </c>
      <c r="AP48" t="e">
        <f ca="1"/>
        <v>#NAME?</v>
      </c>
      <c r="AQ48" t="e">
        <f ca="1"/>
        <v>#NAME?</v>
      </c>
      <c r="AR48" t="e">
        <f ca="1"/>
        <v>#NAME?</v>
      </c>
      <c r="AS48" t="e">
        <f ca="1"/>
        <v>#NAME?</v>
      </c>
      <c r="AT48" t="e">
        <f ca="1"/>
        <v>#NAME?</v>
      </c>
    </row>
    <row r="49" spans="1:46" x14ac:dyDescent="0.3">
      <c r="A49" s="26">
        <f ca="1"/>
        <v>47</v>
      </c>
      <c r="B49" s="28" t="s">
        <v>2049</v>
      </c>
      <c r="C49" s="28" t="s">
        <v>2491</v>
      </c>
      <c r="D49" s="31" t="str">
        <f ca="1"/>
        <v/>
      </c>
      <c r="F49">
        <f ca="1"/>
        <v>10</v>
      </c>
      <c r="G49">
        <f ca="1"/>
        <v>2</v>
      </c>
      <c r="H49" s="28" t="str">
        <f ca="1"/>
        <v>Micrometro@@@@@@@@@@@@@@@@@047</v>
      </c>
      <c r="I49" s="28" t="str">
        <f ca="1"/>
        <v>MM@047</v>
      </c>
      <c r="J49" s="28" t="e">
        <f ca="1"/>
        <v>#NAME?</v>
      </c>
      <c r="K49" s="28" t="e">
        <f ca="1"/>
        <v>#NAME?</v>
      </c>
      <c r="L49" s="28" t="e">
        <f ca="1"/>
        <v>#NAME?</v>
      </c>
      <c r="M49" s="28" t="e">
        <f ca="1"/>
        <v>#NAME?</v>
      </c>
      <c r="N49" t="e">
        <f ca="1"/>
        <v>#NAME?</v>
      </c>
      <c r="O49" t="e">
        <f ca="1"/>
        <v>#NAME?</v>
      </c>
      <c r="P49" t="str">
        <f ca="1"/>
        <v/>
      </c>
      <c r="Q49" t="str">
        <f ca="1"/>
        <v/>
      </c>
      <c r="R49">
        <f ca="1"/>
        <v>0</v>
      </c>
      <c r="S49" t="str">
        <f ca="1"/>
        <v>Micrometro</v>
      </c>
      <c r="T49" t="str">
        <f ca="1"/>
        <v>MM</v>
      </c>
      <c r="U49" t="e">
        <f ca="1"/>
        <v>#NAME?</v>
      </c>
      <c r="V49" t="e">
        <f ca="1"/>
        <v>#NAME?</v>
      </c>
      <c r="W49" t="e">
        <f ca="1"/>
        <v>#NAME?</v>
      </c>
      <c r="X49" t="e">
        <f ca="1"/>
        <v>#NAME?</v>
      </c>
      <c r="Y49" t="e" cm="1">
        <f t="array" aca="1" ref="Y49" ca="1">IF(W49&lt;&gt;"", SUMPRODUCT( (input!H:H=tipos_eqs!W49)*1 ), "")</f>
        <v>#NAME?</v>
      </c>
      <c r="Z49" t="e">
        <f ca="1"/>
        <v>#NAME?</v>
      </c>
      <c r="AA49" t="e">
        <f ca="1"/>
        <v>#NAME?</v>
      </c>
      <c r="AB49" t="e">
        <f ca="1"/>
        <v>#NAME?</v>
      </c>
      <c r="AC49" t="e">
        <f t="shared" ca="1" si="2"/>
        <v>#NAME?</v>
      </c>
      <c r="AD49" t="e">
        <f t="shared" ca="1" si="3"/>
        <v>#NAME?</v>
      </c>
      <c r="AE49" t="e">
        <f t="shared" ca="1" si="1"/>
        <v>#NAME?</v>
      </c>
      <c r="AF49" t="e">
        <f ca="1"/>
        <v>#NAME?</v>
      </c>
      <c r="AG49" t="e">
        <f ca="1"/>
        <v>#NAME?</v>
      </c>
      <c r="AH49" t="e">
        <f ca="1"/>
        <v>#NAME?</v>
      </c>
      <c r="AI49" t="e">
        <f ca="1"/>
        <v>#NAME?</v>
      </c>
      <c r="AJ49" t="e">
        <f ca="1"/>
        <v>#NAME?</v>
      </c>
      <c r="AK49" t="e">
        <f ca="1"/>
        <v>#NAME?</v>
      </c>
      <c r="AL49" t="e">
        <f ca="1"/>
        <v>#NAME?</v>
      </c>
      <c r="AM49" t="e">
        <f ca="1"/>
        <v>#NAME?</v>
      </c>
      <c r="AN49" t="e">
        <f ca="1"/>
        <v>#NAME?</v>
      </c>
      <c r="AO49" t="e">
        <f ca="1"/>
        <v>#NAME?</v>
      </c>
      <c r="AP49" t="e">
        <f ca="1"/>
        <v>#NAME?</v>
      </c>
      <c r="AQ49" t="e">
        <f ca="1"/>
        <v>#NAME?</v>
      </c>
      <c r="AR49" t="e">
        <f ca="1"/>
        <v>#NAME?</v>
      </c>
      <c r="AS49" t="e">
        <f ca="1"/>
        <v>#NAME?</v>
      </c>
      <c r="AT49" t="e">
        <f ca="1"/>
        <v>#NAME?</v>
      </c>
    </row>
    <row r="50" spans="1:46" x14ac:dyDescent="0.3">
      <c r="A50" s="26">
        <f ca="1"/>
        <v>48</v>
      </c>
      <c r="B50" s="28" t="s">
        <v>1752</v>
      </c>
      <c r="C50" s="28" t="s">
        <v>2492</v>
      </c>
      <c r="D50" s="31" t="str">
        <f ca="1"/>
        <v/>
      </c>
      <c r="F50">
        <f ca="1"/>
        <v>11</v>
      </c>
      <c r="G50">
        <f ca="1"/>
        <v>2</v>
      </c>
      <c r="H50" s="28" t="str">
        <f ca="1"/>
        <v>Microscopio@@@@@@@@@@@@@@@@048</v>
      </c>
      <c r="I50" s="28" t="str">
        <f ca="1"/>
        <v>MP@048</v>
      </c>
      <c r="J50" s="28" t="e">
        <f ca="1"/>
        <v>#NAME?</v>
      </c>
      <c r="K50" s="28" t="e">
        <f ca="1"/>
        <v>#NAME?</v>
      </c>
      <c r="L50" s="28" t="e">
        <f ca="1"/>
        <v>#NAME?</v>
      </c>
      <c r="M50" s="28" t="e">
        <f ca="1"/>
        <v>#NAME?</v>
      </c>
      <c r="N50" t="e">
        <f ca="1"/>
        <v>#NAME?</v>
      </c>
      <c r="O50" t="e">
        <f ca="1"/>
        <v>#NAME?</v>
      </c>
      <c r="P50" t="str">
        <f ca="1"/>
        <v/>
      </c>
      <c r="Q50" t="str">
        <f ca="1"/>
        <v/>
      </c>
      <c r="R50">
        <f ca="1"/>
        <v>0</v>
      </c>
      <c r="S50" t="str">
        <f ca="1"/>
        <v>Microscopio</v>
      </c>
      <c r="T50" t="str">
        <f ca="1"/>
        <v>MP</v>
      </c>
      <c r="U50" t="e">
        <f ca="1"/>
        <v>#NAME?</v>
      </c>
      <c r="V50" t="e">
        <f ca="1"/>
        <v>#NAME?</v>
      </c>
      <c r="W50" t="e">
        <f ca="1"/>
        <v>#NAME?</v>
      </c>
      <c r="X50" t="e">
        <f ca="1"/>
        <v>#NAME?</v>
      </c>
      <c r="Y50" t="e" cm="1">
        <f t="array" aca="1" ref="Y50" ca="1">IF(W50&lt;&gt;"", SUMPRODUCT( (input!H:H=tipos_eqs!W50)*1 ), "")</f>
        <v>#NAME?</v>
      </c>
      <c r="Z50" t="e">
        <f ca="1"/>
        <v>#NAME?</v>
      </c>
      <c r="AA50" t="e">
        <f ca="1"/>
        <v>#NAME?</v>
      </c>
      <c r="AB50" t="e">
        <f ca="1"/>
        <v>#NAME?</v>
      </c>
      <c r="AC50" t="e">
        <f t="shared" ca="1" si="2"/>
        <v>#NAME?</v>
      </c>
      <c r="AD50" t="e">
        <f t="shared" ca="1" si="3"/>
        <v>#NAME?</v>
      </c>
      <c r="AE50" t="e">
        <f t="shared" ca="1" si="1"/>
        <v>#NAME?</v>
      </c>
      <c r="AF50" t="e">
        <f ca="1"/>
        <v>#NAME?</v>
      </c>
      <c r="AG50" t="e">
        <f ca="1"/>
        <v>#NAME?</v>
      </c>
      <c r="AH50" t="e">
        <f ca="1"/>
        <v>#NAME?</v>
      </c>
      <c r="AI50" t="e">
        <f ca="1"/>
        <v>#NAME?</v>
      </c>
      <c r="AJ50" t="e">
        <f ca="1"/>
        <v>#NAME?</v>
      </c>
      <c r="AK50" t="e">
        <f ca="1"/>
        <v>#NAME?</v>
      </c>
      <c r="AL50" t="e">
        <f ca="1"/>
        <v>#NAME?</v>
      </c>
      <c r="AM50" t="e">
        <f ca="1"/>
        <v>#NAME?</v>
      </c>
      <c r="AN50" t="e">
        <f ca="1"/>
        <v>#NAME?</v>
      </c>
      <c r="AO50" t="e">
        <f ca="1"/>
        <v>#NAME?</v>
      </c>
      <c r="AP50" t="e">
        <f ca="1"/>
        <v>#NAME?</v>
      </c>
      <c r="AQ50" t="e">
        <f ca="1"/>
        <v>#NAME?</v>
      </c>
      <c r="AR50" t="e">
        <f ca="1"/>
        <v>#NAME?</v>
      </c>
      <c r="AS50" t="e">
        <f ca="1"/>
        <v>#NAME?</v>
      </c>
      <c r="AT50" t="e">
        <f ca="1"/>
        <v>#NAME?</v>
      </c>
    </row>
    <row r="51" spans="1:46" x14ac:dyDescent="0.3">
      <c r="A51" s="26">
        <f ca="1"/>
        <v>49</v>
      </c>
      <c r="B51" s="28" t="s">
        <v>335</v>
      </c>
      <c r="C51" s="28" t="s">
        <v>2493</v>
      </c>
      <c r="D51" s="31" t="str">
        <f ca="1"/>
        <v/>
      </c>
      <c r="F51">
        <f ca="1"/>
        <v>10</v>
      </c>
      <c r="G51">
        <f ca="1"/>
        <v>2</v>
      </c>
      <c r="H51" s="28" t="str">
        <f ca="1"/>
        <v>Misturador@@@@@@@@@@@@@@@@@049</v>
      </c>
      <c r="I51" s="28" t="str">
        <f ca="1"/>
        <v>MT@049</v>
      </c>
      <c r="J51" s="28" t="e">
        <f ca="1"/>
        <v>#NAME?</v>
      </c>
      <c r="K51" s="28" t="e">
        <f ca="1"/>
        <v>#NAME?</v>
      </c>
      <c r="L51" s="28" t="e">
        <f ca="1"/>
        <v>#NAME?</v>
      </c>
      <c r="M51" s="28" t="e">
        <f ca="1"/>
        <v>#NAME?</v>
      </c>
      <c r="N51" t="e">
        <f ca="1"/>
        <v>#NAME?</v>
      </c>
      <c r="O51" t="e">
        <f ca="1"/>
        <v>#NAME?</v>
      </c>
      <c r="P51" t="str">
        <f ca="1"/>
        <v/>
      </c>
      <c r="Q51" t="str">
        <f ca="1"/>
        <v/>
      </c>
      <c r="R51">
        <f ca="1"/>
        <v>0</v>
      </c>
      <c r="S51" t="str">
        <f ca="1"/>
        <v>Misturador</v>
      </c>
      <c r="T51" t="str">
        <f ca="1"/>
        <v>MT</v>
      </c>
      <c r="U51" t="e">
        <f ca="1"/>
        <v>#NAME?</v>
      </c>
      <c r="V51" t="e">
        <f ca="1"/>
        <v>#NAME?</v>
      </c>
      <c r="W51" t="e">
        <f ca="1"/>
        <v>#NAME?</v>
      </c>
      <c r="X51" t="e">
        <f ca="1"/>
        <v>#NAME?</v>
      </c>
      <c r="Y51" t="e" cm="1">
        <f t="array" aca="1" ref="Y51" ca="1">IF(W51&lt;&gt;"", SUMPRODUCT( (input!H:H=tipos_eqs!W51)*1 ), "")</f>
        <v>#NAME?</v>
      </c>
      <c r="Z51" t="e">
        <f ca="1"/>
        <v>#NAME?</v>
      </c>
      <c r="AA51" t="e">
        <f ca="1"/>
        <v>#NAME?</v>
      </c>
      <c r="AB51" t="e">
        <f ca="1"/>
        <v>#NAME?</v>
      </c>
      <c r="AC51" t="e">
        <f t="shared" ca="1" si="2"/>
        <v>#NAME?</v>
      </c>
      <c r="AD51" t="e">
        <f t="shared" ca="1" si="3"/>
        <v>#NAME?</v>
      </c>
      <c r="AE51" t="e">
        <f t="shared" ca="1" si="1"/>
        <v>#NAME?</v>
      </c>
      <c r="AF51" t="e">
        <f ca="1"/>
        <v>#NAME?</v>
      </c>
      <c r="AG51" t="e">
        <f ca="1"/>
        <v>#NAME?</v>
      </c>
      <c r="AH51" t="e">
        <f ca="1"/>
        <v>#NAME?</v>
      </c>
      <c r="AI51" t="e">
        <f ca="1"/>
        <v>#NAME?</v>
      </c>
      <c r="AJ51" t="e">
        <f ca="1"/>
        <v>#NAME?</v>
      </c>
      <c r="AK51" t="e">
        <f ca="1"/>
        <v>#NAME?</v>
      </c>
      <c r="AL51" t="e">
        <f ca="1"/>
        <v>#NAME?</v>
      </c>
      <c r="AM51" t="e">
        <f ca="1"/>
        <v>#NAME?</v>
      </c>
      <c r="AN51" t="e">
        <f ca="1"/>
        <v>#NAME?</v>
      </c>
      <c r="AO51" t="e">
        <f ca="1"/>
        <v>#NAME?</v>
      </c>
      <c r="AP51" t="e">
        <f ca="1"/>
        <v>#NAME?</v>
      </c>
      <c r="AQ51" t="e">
        <f ca="1"/>
        <v>#NAME?</v>
      </c>
      <c r="AR51" t="e">
        <f ca="1"/>
        <v>#NAME?</v>
      </c>
      <c r="AS51" t="e">
        <f ca="1"/>
        <v>#NAME?</v>
      </c>
      <c r="AT51" t="e">
        <f ca="1"/>
        <v>#NAME?</v>
      </c>
    </row>
    <row r="52" spans="1:46" x14ac:dyDescent="0.3">
      <c r="A52" s="26">
        <f ca="1"/>
        <v>50</v>
      </c>
      <c r="B52" s="28" t="s">
        <v>385</v>
      </c>
      <c r="C52" s="28" t="s">
        <v>2494</v>
      </c>
      <c r="D52" s="31" t="str">
        <f ca="1"/>
        <v/>
      </c>
      <c r="F52">
        <f ca="1"/>
        <v>6</v>
      </c>
      <c r="G52">
        <f ca="1"/>
        <v>2</v>
      </c>
      <c r="H52" s="28" t="str">
        <f ca="1"/>
        <v>Moinho@@@@@@@@@@@@@@@@@@@@@050</v>
      </c>
      <c r="I52" s="28" t="str">
        <f ca="1"/>
        <v>MO@050</v>
      </c>
      <c r="J52" s="28" t="e">
        <f ca="1"/>
        <v>#NAME?</v>
      </c>
      <c r="K52" s="28" t="e">
        <f ca="1"/>
        <v>#NAME?</v>
      </c>
      <c r="L52" s="28" t="e">
        <f ca="1"/>
        <v>#NAME?</v>
      </c>
      <c r="M52" s="28" t="e">
        <f ca="1"/>
        <v>#NAME?</v>
      </c>
      <c r="N52" t="e">
        <f ca="1"/>
        <v>#NAME?</v>
      </c>
      <c r="O52" t="e">
        <f ca="1"/>
        <v>#NAME?</v>
      </c>
      <c r="P52" t="str">
        <f ca="1"/>
        <v/>
      </c>
      <c r="Q52" t="str">
        <f ca="1"/>
        <v/>
      </c>
      <c r="R52">
        <f ca="1"/>
        <v>0</v>
      </c>
      <c r="S52" t="str">
        <f ca="1"/>
        <v>Moinho</v>
      </c>
      <c r="T52" t="str">
        <f ca="1"/>
        <v>MO</v>
      </c>
      <c r="U52" t="e">
        <f ca="1"/>
        <v>#NAME?</v>
      </c>
      <c r="V52" t="e">
        <f ca="1"/>
        <v>#NAME?</v>
      </c>
      <c r="W52" t="e">
        <f ca="1"/>
        <v>#NAME?</v>
      </c>
      <c r="X52" t="e">
        <f ca="1"/>
        <v>#NAME?</v>
      </c>
      <c r="Y52" t="e" cm="1">
        <f t="array" aca="1" ref="Y52" ca="1">IF(W52&lt;&gt;"", SUMPRODUCT( (input!H:H=tipos_eqs!W52)*1 ), "")</f>
        <v>#NAME?</v>
      </c>
      <c r="Z52" t="e">
        <f ca="1"/>
        <v>#NAME?</v>
      </c>
      <c r="AA52" t="e">
        <f ca="1"/>
        <v>#NAME?</v>
      </c>
      <c r="AB52" t="e">
        <f ca="1"/>
        <v>#NAME?</v>
      </c>
      <c r="AC52" t="e">
        <f t="shared" ca="1" si="2"/>
        <v>#NAME?</v>
      </c>
      <c r="AD52" t="e">
        <f t="shared" ca="1" si="3"/>
        <v>#NAME?</v>
      </c>
      <c r="AE52" t="e">
        <f t="shared" ca="1" si="1"/>
        <v>#NAME?</v>
      </c>
      <c r="AF52" t="e">
        <f ca="1"/>
        <v>#NAME?</v>
      </c>
      <c r="AG52" t="e">
        <f ca="1"/>
        <v>#NAME?</v>
      </c>
      <c r="AH52" t="e">
        <f ca="1"/>
        <v>#NAME?</v>
      </c>
      <c r="AI52" t="e">
        <f ca="1"/>
        <v>#NAME?</v>
      </c>
      <c r="AJ52" t="e">
        <f ca="1"/>
        <v>#NAME?</v>
      </c>
      <c r="AK52" t="e">
        <f ca="1"/>
        <v>#NAME?</v>
      </c>
      <c r="AL52" t="e">
        <f ca="1"/>
        <v>#NAME?</v>
      </c>
      <c r="AM52" t="e">
        <f ca="1"/>
        <v>#NAME?</v>
      </c>
      <c r="AN52" t="e">
        <f ca="1"/>
        <v>#NAME?</v>
      </c>
      <c r="AO52" t="e">
        <f ca="1"/>
        <v>#NAME?</v>
      </c>
      <c r="AP52" t="e">
        <f ca="1"/>
        <v>#NAME?</v>
      </c>
      <c r="AQ52" t="e">
        <f ca="1"/>
        <v>#NAME?</v>
      </c>
      <c r="AR52" t="e">
        <f ca="1"/>
        <v>#NAME?</v>
      </c>
      <c r="AS52" t="e">
        <f ca="1"/>
        <v>#NAME?</v>
      </c>
      <c r="AT52" t="e">
        <f ca="1"/>
        <v>#NAME?</v>
      </c>
    </row>
    <row r="53" spans="1:46" x14ac:dyDescent="0.3">
      <c r="A53" s="26">
        <f ca="1"/>
        <v>51</v>
      </c>
      <c r="B53" s="28" t="s">
        <v>64</v>
      </c>
      <c r="C53" s="28" t="s">
        <v>2495</v>
      </c>
      <c r="D53" s="31" t="str">
        <f ca="1"/>
        <v/>
      </c>
      <c r="F53">
        <f ca="1"/>
        <v>6</v>
      </c>
      <c r="G53">
        <f ca="1"/>
        <v>2</v>
      </c>
      <c r="H53" s="28" t="str">
        <f ca="1"/>
        <v>Outros@@@@@@@@@@@@@@@@@@@@@051</v>
      </c>
      <c r="I53" s="28" t="str">
        <f ca="1"/>
        <v>XX@051</v>
      </c>
      <c r="J53" s="28" t="e">
        <f ca="1"/>
        <v>#NAME?</v>
      </c>
      <c r="K53" s="28" t="e">
        <f ca="1"/>
        <v>#NAME?</v>
      </c>
      <c r="L53" s="28" t="e">
        <f ca="1"/>
        <v>#NAME?</v>
      </c>
      <c r="M53" s="28" t="e">
        <f ca="1"/>
        <v>#NAME?</v>
      </c>
      <c r="N53" t="e">
        <f ca="1"/>
        <v>#NAME?</v>
      </c>
      <c r="O53" t="e">
        <f ca="1"/>
        <v>#NAME?</v>
      </c>
      <c r="P53" t="str">
        <f ca="1"/>
        <v/>
      </c>
      <c r="Q53" t="str">
        <f ca="1"/>
        <v/>
      </c>
      <c r="R53">
        <f ca="1"/>
        <v>0</v>
      </c>
      <c r="S53" t="str">
        <f ca="1"/>
        <v>Outros</v>
      </c>
      <c r="T53" t="str">
        <f ca="1"/>
        <v>XX</v>
      </c>
      <c r="U53" t="e">
        <f ca="1"/>
        <v>#NAME?</v>
      </c>
      <c r="V53" t="e">
        <f ca="1"/>
        <v>#NAME?</v>
      </c>
      <c r="W53" t="e">
        <f ca="1"/>
        <v>#NAME?</v>
      </c>
      <c r="X53" t="e">
        <f ca="1"/>
        <v>#NAME?</v>
      </c>
      <c r="Y53" t="e" cm="1">
        <f t="array" aca="1" ref="Y53" ca="1">IF(W53&lt;&gt;"", SUMPRODUCT( (input!H:H=tipos_eqs!W53)*1 ), "")</f>
        <v>#NAME?</v>
      </c>
      <c r="Z53" t="e">
        <f ca="1"/>
        <v>#NAME?</v>
      </c>
      <c r="AA53" t="e">
        <f ca="1"/>
        <v>#NAME?</v>
      </c>
      <c r="AB53" t="e">
        <f ca="1"/>
        <v>#NAME?</v>
      </c>
      <c r="AC53" t="e">
        <f t="shared" ca="1" si="2"/>
        <v>#NAME?</v>
      </c>
      <c r="AD53" t="e">
        <f t="shared" ca="1" si="3"/>
        <v>#NAME?</v>
      </c>
      <c r="AE53" t="e">
        <f t="shared" ca="1" si="1"/>
        <v>#NAME?</v>
      </c>
      <c r="AF53" t="e">
        <f ca="1"/>
        <v>#NAME?</v>
      </c>
      <c r="AG53" t="e">
        <f ca="1"/>
        <v>#NAME?</v>
      </c>
      <c r="AH53" t="e">
        <f ca="1"/>
        <v>#NAME?</v>
      </c>
      <c r="AI53" t="e">
        <f ca="1"/>
        <v>#NAME?</v>
      </c>
      <c r="AJ53" t="e">
        <f ca="1"/>
        <v>#NAME?</v>
      </c>
      <c r="AK53" t="e">
        <f ca="1"/>
        <v>#NAME?</v>
      </c>
      <c r="AL53" t="e">
        <f ca="1"/>
        <v>#NAME?</v>
      </c>
      <c r="AM53" t="e">
        <f ca="1"/>
        <v>#NAME?</v>
      </c>
      <c r="AN53" t="e">
        <f ca="1"/>
        <v>#NAME?</v>
      </c>
      <c r="AO53" t="e">
        <f ca="1"/>
        <v>#NAME?</v>
      </c>
      <c r="AP53" t="e">
        <f ca="1"/>
        <v>#NAME?</v>
      </c>
      <c r="AQ53" t="e">
        <f ca="1"/>
        <v>#NAME?</v>
      </c>
      <c r="AR53" t="e">
        <f ca="1"/>
        <v>#NAME?</v>
      </c>
      <c r="AS53" t="e">
        <f ca="1"/>
        <v>#NAME?</v>
      </c>
      <c r="AT53" t="e">
        <f ca="1"/>
        <v>#NAME?</v>
      </c>
    </row>
    <row r="54" spans="1:46" x14ac:dyDescent="0.3">
      <c r="A54" s="26">
        <f ca="1"/>
        <v>52</v>
      </c>
      <c r="B54" s="28" t="s">
        <v>2054</v>
      </c>
      <c r="C54" s="28" t="s">
        <v>2496</v>
      </c>
      <c r="D54" s="31" t="str">
        <f ca="1"/>
        <v/>
      </c>
      <c r="F54">
        <f ca="1"/>
        <v>10</v>
      </c>
      <c r="G54">
        <f ca="1"/>
        <v>2</v>
      </c>
      <c r="H54" s="28" t="str">
        <f ca="1"/>
        <v>Paquimetro@@@@@@@@@@@@@@@@@052</v>
      </c>
      <c r="I54" s="28" t="str">
        <f ca="1"/>
        <v>PQ@052</v>
      </c>
      <c r="J54" s="28" t="e">
        <f ca="1"/>
        <v>#NAME?</v>
      </c>
      <c r="K54" s="28" t="e">
        <f ca="1"/>
        <v>#NAME?</v>
      </c>
      <c r="L54" s="28" t="e">
        <f ca="1"/>
        <v>#NAME?</v>
      </c>
      <c r="M54" s="28" t="e">
        <f ca="1"/>
        <v>#NAME?</v>
      </c>
      <c r="N54" t="e">
        <f ca="1"/>
        <v>#NAME?</v>
      </c>
      <c r="O54" t="e">
        <f ca="1"/>
        <v>#NAME?</v>
      </c>
      <c r="P54" t="str">
        <f ca="1"/>
        <v/>
      </c>
      <c r="Q54" t="str">
        <f ca="1"/>
        <v/>
      </c>
      <c r="R54">
        <f ca="1"/>
        <v>0</v>
      </c>
      <c r="S54" t="str">
        <f ca="1"/>
        <v>Paquimetro</v>
      </c>
      <c r="T54" t="str">
        <f ca="1"/>
        <v>PQ</v>
      </c>
      <c r="U54" t="e">
        <f ca="1"/>
        <v>#NAME?</v>
      </c>
      <c r="V54" t="e">
        <f ca="1"/>
        <v>#NAME?</v>
      </c>
      <c r="W54" t="e">
        <f ca="1"/>
        <v>#NAME?</v>
      </c>
      <c r="X54" t="e">
        <f ca="1"/>
        <v>#NAME?</v>
      </c>
      <c r="Y54" t="e" cm="1">
        <f t="array" aca="1" ref="Y54" ca="1">IF(W54&lt;&gt;"", SUMPRODUCT( (input!H:H=tipos_eqs!W54)*1 ), "")</f>
        <v>#NAME?</v>
      </c>
      <c r="Z54" t="e">
        <f ca="1"/>
        <v>#NAME?</v>
      </c>
      <c r="AA54" t="e">
        <f ca="1"/>
        <v>#NAME?</v>
      </c>
      <c r="AB54" t="e">
        <f ca="1"/>
        <v>#NAME?</v>
      </c>
      <c r="AC54" t="e">
        <f t="shared" ca="1" si="2"/>
        <v>#NAME?</v>
      </c>
      <c r="AD54" t="e">
        <f t="shared" ca="1" si="3"/>
        <v>#NAME?</v>
      </c>
      <c r="AE54" t="e">
        <f t="shared" ca="1" si="1"/>
        <v>#NAME?</v>
      </c>
      <c r="AF54" t="e">
        <f ca="1"/>
        <v>#NAME?</v>
      </c>
      <c r="AG54" t="e">
        <f ca="1"/>
        <v>#NAME?</v>
      </c>
      <c r="AH54" t="e">
        <f ca="1"/>
        <v>#NAME?</v>
      </c>
      <c r="AI54" t="e">
        <f ca="1"/>
        <v>#NAME?</v>
      </c>
      <c r="AJ54" t="e">
        <f ca="1"/>
        <v>#NAME?</v>
      </c>
      <c r="AK54" t="e">
        <f ca="1"/>
        <v>#NAME?</v>
      </c>
      <c r="AL54" t="e">
        <f ca="1"/>
        <v>#NAME?</v>
      </c>
      <c r="AM54" t="e">
        <f ca="1"/>
        <v>#NAME?</v>
      </c>
      <c r="AN54" t="e">
        <f ca="1"/>
        <v>#NAME?</v>
      </c>
      <c r="AO54" t="e">
        <f ca="1"/>
        <v>#NAME?</v>
      </c>
      <c r="AP54" t="e">
        <f ca="1"/>
        <v>#NAME?</v>
      </c>
      <c r="AQ54" t="e">
        <f ca="1"/>
        <v>#NAME?</v>
      </c>
      <c r="AR54" t="e">
        <f ca="1"/>
        <v>#NAME?</v>
      </c>
      <c r="AS54" t="e">
        <f ca="1"/>
        <v>#NAME?</v>
      </c>
      <c r="AT54" t="e">
        <f ca="1"/>
        <v>#NAME?</v>
      </c>
    </row>
    <row r="55" spans="1:46" x14ac:dyDescent="0.3">
      <c r="A55" s="26">
        <f ca="1"/>
        <v>53</v>
      </c>
      <c r="B55" s="28" t="s">
        <v>106</v>
      </c>
      <c r="C55" s="28" t="s">
        <v>2497</v>
      </c>
      <c r="D55" s="31" t="str">
        <f ca="1"/>
        <v/>
      </c>
      <c r="F55">
        <f ca="1"/>
        <v>13</v>
      </c>
      <c r="G55">
        <f ca="1"/>
        <v>2</v>
      </c>
      <c r="H55" s="28" t="str">
        <f ca="1"/>
        <v>Pastilhadeira@@@@@@@@@@@@@@053</v>
      </c>
      <c r="I55" s="28" t="str">
        <f ca="1"/>
        <v>PT@053</v>
      </c>
      <c r="J55" s="28" t="e">
        <f ca="1"/>
        <v>#NAME?</v>
      </c>
      <c r="K55" s="28" t="e">
        <f ca="1"/>
        <v>#NAME?</v>
      </c>
      <c r="L55" s="28" t="e">
        <f ca="1"/>
        <v>#NAME?</v>
      </c>
      <c r="M55" s="28" t="e">
        <f ca="1"/>
        <v>#NAME?</v>
      </c>
      <c r="N55" t="e">
        <f ca="1"/>
        <v>#NAME?</v>
      </c>
      <c r="O55" t="e">
        <f ca="1"/>
        <v>#NAME?</v>
      </c>
      <c r="P55" t="str">
        <f ca="1"/>
        <v/>
      </c>
      <c r="Q55" t="str">
        <f ca="1"/>
        <v/>
      </c>
      <c r="R55">
        <f ca="1"/>
        <v>0</v>
      </c>
      <c r="S55" t="str">
        <f ca="1"/>
        <v>Pastilhadeira</v>
      </c>
      <c r="T55" t="str">
        <f ca="1"/>
        <v>PT</v>
      </c>
      <c r="U55" t="e">
        <f ca="1"/>
        <v>#NAME?</v>
      </c>
      <c r="V55" t="e">
        <f ca="1"/>
        <v>#NAME?</v>
      </c>
      <c r="W55" t="e">
        <f ca="1"/>
        <v>#NAME?</v>
      </c>
      <c r="X55" t="e">
        <f ca="1"/>
        <v>#NAME?</v>
      </c>
      <c r="Y55" t="e" cm="1">
        <f t="array" aca="1" ref="Y55" ca="1">IF(W55&lt;&gt;"", SUMPRODUCT( (input!H:H=tipos_eqs!W55)*1 ), "")</f>
        <v>#NAME?</v>
      </c>
      <c r="Z55" t="e">
        <f ca="1"/>
        <v>#NAME?</v>
      </c>
      <c r="AA55" t="e">
        <f ca="1"/>
        <v>#NAME?</v>
      </c>
      <c r="AB55" t="e">
        <f ca="1"/>
        <v>#NAME?</v>
      </c>
      <c r="AC55" t="e">
        <f t="shared" ca="1" si="2"/>
        <v>#NAME?</v>
      </c>
      <c r="AD55" t="e">
        <f t="shared" ca="1" si="3"/>
        <v>#NAME?</v>
      </c>
      <c r="AE55" t="e">
        <f t="shared" ca="1" si="1"/>
        <v>#NAME?</v>
      </c>
      <c r="AF55" t="e">
        <f ca="1"/>
        <v>#NAME?</v>
      </c>
      <c r="AG55" t="e">
        <f ca="1"/>
        <v>#NAME?</v>
      </c>
      <c r="AH55" t="e">
        <f ca="1"/>
        <v>#NAME?</v>
      </c>
      <c r="AI55" t="e">
        <f ca="1"/>
        <v>#NAME?</v>
      </c>
      <c r="AJ55" t="e">
        <f ca="1"/>
        <v>#NAME?</v>
      </c>
      <c r="AK55" t="e">
        <f ca="1"/>
        <v>#NAME?</v>
      </c>
      <c r="AL55" t="e">
        <f ca="1"/>
        <v>#NAME?</v>
      </c>
      <c r="AM55" t="e">
        <f ca="1"/>
        <v>#NAME?</v>
      </c>
      <c r="AN55" t="e">
        <f ca="1"/>
        <v>#NAME?</v>
      </c>
      <c r="AO55" t="e">
        <f ca="1"/>
        <v>#NAME?</v>
      </c>
      <c r="AP55" t="e">
        <f ca="1"/>
        <v>#NAME?</v>
      </c>
      <c r="AQ55" t="e">
        <f ca="1"/>
        <v>#NAME?</v>
      </c>
      <c r="AR55" t="e">
        <f ca="1"/>
        <v>#NAME?</v>
      </c>
      <c r="AS55" t="e">
        <f ca="1"/>
        <v>#NAME?</v>
      </c>
      <c r="AT55" t="e">
        <f ca="1"/>
        <v>#NAME?</v>
      </c>
    </row>
    <row r="56" spans="1:46" x14ac:dyDescent="0.3">
      <c r="A56" s="26">
        <f ca="1"/>
        <v>54</v>
      </c>
      <c r="B56" s="28" t="s">
        <v>2498</v>
      </c>
      <c r="C56" s="28" t="s">
        <v>2499</v>
      </c>
      <c r="D56" s="31" t="str">
        <f ca="1"/>
        <v/>
      </c>
      <c r="F56">
        <f ca="1"/>
        <v>12</v>
      </c>
      <c r="G56">
        <f ca="1"/>
        <v>2</v>
      </c>
      <c r="H56" s="28" t="str">
        <f ca="1"/>
        <v>Peletizadora@@@@@@@@@@@@@@@054</v>
      </c>
      <c r="I56" s="28" t="str">
        <f ca="1"/>
        <v>PE@054</v>
      </c>
      <c r="J56" s="28" t="e">
        <f ca="1"/>
        <v>#NAME?</v>
      </c>
      <c r="K56" s="28" t="e">
        <f ca="1"/>
        <v>#NAME?</v>
      </c>
      <c r="L56" s="28" t="e">
        <f ca="1"/>
        <v>#NAME?</v>
      </c>
      <c r="M56" s="28" t="e">
        <f ca="1"/>
        <v>#NAME?</v>
      </c>
      <c r="N56" t="e">
        <f ca="1"/>
        <v>#NAME?</v>
      </c>
      <c r="O56" t="e">
        <f ca="1"/>
        <v>#NAME?</v>
      </c>
      <c r="P56" t="str">
        <f ca="1"/>
        <v/>
      </c>
      <c r="Q56" t="str">
        <f ca="1"/>
        <v/>
      </c>
      <c r="R56">
        <f ca="1"/>
        <v>0</v>
      </c>
      <c r="S56" t="str">
        <f ca="1"/>
        <v>Peletizadora</v>
      </c>
      <c r="T56" t="str">
        <f ca="1"/>
        <v>PE</v>
      </c>
      <c r="U56" t="e">
        <f ca="1"/>
        <v>#NAME?</v>
      </c>
      <c r="V56" t="e">
        <f ca="1"/>
        <v>#NAME?</v>
      </c>
      <c r="W56" t="e">
        <f ca="1"/>
        <v>#NAME?</v>
      </c>
      <c r="X56" t="e">
        <f ca="1"/>
        <v>#NAME?</v>
      </c>
      <c r="Y56" t="e" cm="1">
        <f t="array" aca="1" ref="Y56" ca="1">IF(W56&lt;&gt;"", SUMPRODUCT( (input!H:H=tipos_eqs!W56)*1 ), "")</f>
        <v>#NAME?</v>
      </c>
      <c r="Z56" t="e">
        <f ca="1"/>
        <v>#NAME?</v>
      </c>
      <c r="AA56" t="e">
        <f ca="1"/>
        <v>#NAME?</v>
      </c>
      <c r="AB56" t="e">
        <f ca="1"/>
        <v>#NAME?</v>
      </c>
      <c r="AC56" t="e">
        <f t="shared" ca="1" si="2"/>
        <v>#NAME?</v>
      </c>
      <c r="AD56" t="e">
        <f t="shared" ca="1" si="3"/>
        <v>#NAME?</v>
      </c>
      <c r="AE56" t="e">
        <f t="shared" ca="1" si="1"/>
        <v>#NAME?</v>
      </c>
      <c r="AF56" t="e">
        <f ca="1"/>
        <v>#NAME?</v>
      </c>
      <c r="AG56" t="e">
        <f ca="1"/>
        <v>#NAME?</v>
      </c>
      <c r="AH56" t="e">
        <f ca="1"/>
        <v>#NAME?</v>
      </c>
      <c r="AI56" t="e">
        <f ca="1"/>
        <v>#NAME?</v>
      </c>
      <c r="AJ56" t="e">
        <f ca="1"/>
        <v>#NAME?</v>
      </c>
      <c r="AK56" t="e">
        <f ca="1"/>
        <v>#NAME?</v>
      </c>
      <c r="AL56" t="e">
        <f ca="1"/>
        <v>#NAME?</v>
      </c>
      <c r="AM56" t="e">
        <f ca="1"/>
        <v>#NAME?</v>
      </c>
      <c r="AN56" t="e">
        <f ca="1"/>
        <v>#NAME?</v>
      </c>
      <c r="AO56" t="e">
        <f ca="1"/>
        <v>#NAME?</v>
      </c>
      <c r="AP56" t="e">
        <f ca="1"/>
        <v>#NAME?</v>
      </c>
      <c r="AQ56" t="e">
        <f ca="1"/>
        <v>#NAME?</v>
      </c>
      <c r="AR56" t="e">
        <f ca="1"/>
        <v>#NAME?</v>
      </c>
      <c r="AS56" t="e">
        <f ca="1"/>
        <v>#NAME?</v>
      </c>
      <c r="AT56" t="e">
        <f ca="1"/>
        <v>#NAME?</v>
      </c>
    </row>
    <row r="57" spans="1:46" x14ac:dyDescent="0.3">
      <c r="A57" s="26">
        <f ca="1"/>
        <v>55</v>
      </c>
      <c r="B57" s="28" t="s">
        <v>288</v>
      </c>
      <c r="C57" s="28" t="s">
        <v>2500</v>
      </c>
      <c r="D57" s="31" t="str">
        <f ca="1"/>
        <v/>
      </c>
      <c r="F57">
        <f ca="1"/>
        <v>7</v>
      </c>
      <c r="G57">
        <f ca="1"/>
        <v>2</v>
      </c>
      <c r="H57" s="28" t="str">
        <f ca="1"/>
        <v>Peneira@@@@@@@@@@@@@@@@@@@@055</v>
      </c>
      <c r="I57" s="28" t="str">
        <f ca="1"/>
        <v>PN@055</v>
      </c>
      <c r="J57" s="28" t="e">
        <f ca="1"/>
        <v>#NAME?</v>
      </c>
      <c r="K57" s="28" t="e">
        <f ca="1"/>
        <v>#NAME?</v>
      </c>
      <c r="L57" s="28" t="e">
        <f ca="1"/>
        <v>#NAME?</v>
      </c>
      <c r="M57" s="28" t="e">
        <f ca="1"/>
        <v>#NAME?</v>
      </c>
      <c r="N57" t="e">
        <f ca="1"/>
        <v>#NAME?</v>
      </c>
      <c r="O57" t="e">
        <f ca="1"/>
        <v>#NAME?</v>
      </c>
      <c r="P57" t="str">
        <f ca="1"/>
        <v/>
      </c>
      <c r="Q57" t="str">
        <f ca="1"/>
        <v/>
      </c>
      <c r="R57">
        <f ca="1"/>
        <v>0</v>
      </c>
      <c r="S57" t="str">
        <f ca="1"/>
        <v>Peneira</v>
      </c>
      <c r="T57" t="str">
        <f ca="1"/>
        <v>PN</v>
      </c>
      <c r="U57" t="e">
        <f ca="1"/>
        <v>#NAME?</v>
      </c>
      <c r="V57" t="e">
        <f ca="1"/>
        <v>#NAME?</v>
      </c>
      <c r="W57" t="e">
        <f ca="1"/>
        <v>#NAME?</v>
      </c>
      <c r="X57" t="e">
        <f ca="1"/>
        <v>#NAME?</v>
      </c>
      <c r="Y57" t="e" cm="1">
        <f t="array" aca="1" ref="Y57" ca="1">IF(W57&lt;&gt;"", SUMPRODUCT( (input!H:H=tipos_eqs!W57)*1 ), "")</f>
        <v>#NAME?</v>
      </c>
      <c r="Z57" t="e">
        <f ca="1"/>
        <v>#NAME?</v>
      </c>
      <c r="AA57" t="e">
        <f ca="1"/>
        <v>#NAME?</v>
      </c>
      <c r="AB57" t="e">
        <f ca="1"/>
        <v>#NAME?</v>
      </c>
      <c r="AC57" t="e">
        <f t="shared" ca="1" si="2"/>
        <v>#NAME?</v>
      </c>
      <c r="AD57" t="e">
        <f t="shared" ca="1" si="3"/>
        <v>#NAME?</v>
      </c>
      <c r="AE57" t="e">
        <f t="shared" ca="1" si="1"/>
        <v>#NAME?</v>
      </c>
      <c r="AF57" t="e">
        <f ca="1"/>
        <v>#NAME?</v>
      </c>
      <c r="AG57" t="e">
        <f ca="1"/>
        <v>#NAME?</v>
      </c>
      <c r="AH57" t="e">
        <f ca="1"/>
        <v>#NAME?</v>
      </c>
      <c r="AI57" t="e">
        <f ca="1"/>
        <v>#NAME?</v>
      </c>
      <c r="AJ57" t="e">
        <f ca="1"/>
        <v>#NAME?</v>
      </c>
      <c r="AK57" t="e">
        <f ca="1"/>
        <v>#NAME?</v>
      </c>
      <c r="AL57" t="e">
        <f ca="1"/>
        <v>#NAME?</v>
      </c>
      <c r="AM57" t="e">
        <f ca="1"/>
        <v>#NAME?</v>
      </c>
      <c r="AN57" t="e">
        <f ca="1"/>
        <v>#NAME?</v>
      </c>
      <c r="AO57" t="e">
        <f ca="1"/>
        <v>#NAME?</v>
      </c>
      <c r="AP57" t="e">
        <f ca="1"/>
        <v>#NAME?</v>
      </c>
      <c r="AQ57" t="e">
        <f ca="1"/>
        <v>#NAME?</v>
      </c>
      <c r="AR57" t="e">
        <f ca="1"/>
        <v>#NAME?</v>
      </c>
      <c r="AS57" t="e">
        <f ca="1"/>
        <v>#NAME?</v>
      </c>
      <c r="AT57" t="e">
        <f ca="1"/>
        <v>#NAME?</v>
      </c>
    </row>
    <row r="58" spans="1:46" x14ac:dyDescent="0.3">
      <c r="A58" s="26">
        <f ca="1"/>
        <v>56</v>
      </c>
      <c r="B58" s="28" t="s">
        <v>318</v>
      </c>
      <c r="C58" s="28" t="s">
        <v>2501</v>
      </c>
      <c r="D58" s="31" t="str">
        <f ca="1"/>
        <v/>
      </c>
      <c r="F58">
        <f ca="1"/>
        <v>7</v>
      </c>
      <c r="G58">
        <f ca="1"/>
        <v>2</v>
      </c>
      <c r="H58" s="28" t="str">
        <f ca="1"/>
        <v>Phmetro@@@@@@@@@@@@@@@@@@@@056</v>
      </c>
      <c r="I58" s="28" t="str">
        <f ca="1"/>
        <v>PH@056</v>
      </c>
      <c r="J58" s="28" t="e">
        <f ca="1"/>
        <v>#NAME?</v>
      </c>
      <c r="K58" s="28" t="e">
        <f ca="1"/>
        <v>#NAME?</v>
      </c>
      <c r="L58" s="28" t="e">
        <f ca="1"/>
        <v>#NAME?</v>
      </c>
      <c r="M58" s="28" t="e">
        <f ca="1"/>
        <v>#NAME?</v>
      </c>
      <c r="N58" t="e">
        <f ca="1"/>
        <v>#NAME?</v>
      </c>
      <c r="O58" t="e">
        <f ca="1"/>
        <v>#NAME?</v>
      </c>
      <c r="P58" t="str">
        <f ca="1"/>
        <v/>
      </c>
      <c r="Q58" t="str">
        <f ca="1"/>
        <v/>
      </c>
      <c r="R58">
        <f ca="1"/>
        <v>0</v>
      </c>
      <c r="S58" t="str">
        <f ca="1"/>
        <v>Phmetro</v>
      </c>
      <c r="T58" t="str">
        <f ca="1"/>
        <v>PH</v>
      </c>
      <c r="U58" t="e">
        <f ca="1"/>
        <v>#NAME?</v>
      </c>
      <c r="V58" t="e">
        <f ca="1"/>
        <v>#NAME?</v>
      </c>
      <c r="W58" t="e">
        <f ca="1"/>
        <v>#NAME?</v>
      </c>
      <c r="X58" t="e">
        <f ca="1"/>
        <v>#NAME?</v>
      </c>
      <c r="Y58" t="e" cm="1">
        <f t="array" aca="1" ref="Y58" ca="1">IF(W58&lt;&gt;"", SUMPRODUCT( (input!H:H=tipos_eqs!W58)*1 ), "")</f>
        <v>#NAME?</v>
      </c>
      <c r="Z58" t="e">
        <f ca="1"/>
        <v>#NAME?</v>
      </c>
      <c r="AA58" t="e">
        <f ca="1"/>
        <v>#NAME?</v>
      </c>
      <c r="AB58" t="e">
        <f ca="1"/>
        <v>#NAME?</v>
      </c>
      <c r="AC58" t="e">
        <f t="shared" ca="1" si="2"/>
        <v>#NAME?</v>
      </c>
      <c r="AD58" t="e">
        <f t="shared" ca="1" si="3"/>
        <v>#NAME?</v>
      </c>
      <c r="AE58" t="e">
        <f t="shared" ca="1" si="1"/>
        <v>#NAME?</v>
      </c>
      <c r="AF58" t="e">
        <f ca="1"/>
        <v>#NAME?</v>
      </c>
      <c r="AG58" t="e">
        <f ca="1"/>
        <v>#NAME?</v>
      </c>
      <c r="AH58" t="e">
        <f ca="1"/>
        <v>#NAME?</v>
      </c>
      <c r="AI58" t="e">
        <f ca="1"/>
        <v>#NAME?</v>
      </c>
      <c r="AJ58" t="e">
        <f ca="1"/>
        <v>#NAME?</v>
      </c>
      <c r="AK58" t="e">
        <f ca="1"/>
        <v>#NAME?</v>
      </c>
      <c r="AL58" t="e">
        <f ca="1"/>
        <v>#NAME?</v>
      </c>
      <c r="AM58" t="e">
        <f ca="1"/>
        <v>#NAME?</v>
      </c>
      <c r="AN58" t="e">
        <f ca="1"/>
        <v>#NAME?</v>
      </c>
      <c r="AO58" t="e">
        <f ca="1"/>
        <v>#NAME?</v>
      </c>
      <c r="AP58" t="e">
        <f ca="1"/>
        <v>#NAME?</v>
      </c>
      <c r="AQ58" t="e">
        <f ca="1"/>
        <v>#NAME?</v>
      </c>
      <c r="AR58" t="e">
        <f ca="1"/>
        <v>#NAME?</v>
      </c>
      <c r="AS58" t="e">
        <f ca="1"/>
        <v>#NAME?</v>
      </c>
      <c r="AT58" t="e">
        <f ca="1"/>
        <v>#NAME?</v>
      </c>
    </row>
    <row r="59" spans="1:46" x14ac:dyDescent="0.3">
      <c r="A59" s="26">
        <f ca="1"/>
        <v>57</v>
      </c>
      <c r="B59" s="28" t="s">
        <v>273</v>
      </c>
      <c r="C59" s="28" t="s">
        <v>2502</v>
      </c>
      <c r="D59" s="31" t="str">
        <f ca="1"/>
        <v/>
      </c>
      <c r="F59">
        <f ca="1"/>
        <v>6</v>
      </c>
      <c r="G59">
        <f ca="1"/>
        <v>2</v>
      </c>
      <c r="H59" s="28" t="str">
        <f ca="1"/>
        <v>Prensa@@@@@@@@@@@@@@@@@@@@@057</v>
      </c>
      <c r="I59" s="28" t="str">
        <f ca="1"/>
        <v>PR@057</v>
      </c>
      <c r="J59" s="28" t="e">
        <f ca="1"/>
        <v>#NAME?</v>
      </c>
      <c r="K59" s="28" t="e">
        <f ca="1"/>
        <v>#NAME?</v>
      </c>
      <c r="L59" s="28" t="e">
        <f ca="1"/>
        <v>#NAME?</v>
      </c>
      <c r="M59" s="28" t="e">
        <f ca="1"/>
        <v>#NAME?</v>
      </c>
      <c r="N59" t="e">
        <f ca="1"/>
        <v>#NAME?</v>
      </c>
      <c r="O59" t="e">
        <f ca="1"/>
        <v>#NAME?</v>
      </c>
      <c r="P59" t="str">
        <f ca="1"/>
        <v/>
      </c>
      <c r="Q59" t="str">
        <f ca="1"/>
        <v/>
      </c>
      <c r="R59">
        <f ca="1"/>
        <v>0</v>
      </c>
      <c r="S59" t="str">
        <f ca="1"/>
        <v>Prensa</v>
      </c>
      <c r="T59" t="str">
        <f ca="1"/>
        <v>PR</v>
      </c>
      <c r="U59" t="e">
        <f ca="1"/>
        <v>#NAME?</v>
      </c>
      <c r="V59" t="e">
        <f ca="1"/>
        <v>#NAME?</v>
      </c>
      <c r="W59" t="e">
        <f ca="1"/>
        <v>#NAME?</v>
      </c>
      <c r="X59" t="e">
        <f ca="1"/>
        <v>#NAME?</v>
      </c>
      <c r="Y59" t="e" cm="1">
        <f t="array" aca="1" ref="Y59" ca="1">IF(W59&lt;&gt;"", SUMPRODUCT( (input!H:H=tipos_eqs!W59)*1 ), "")</f>
        <v>#NAME?</v>
      </c>
      <c r="Z59" t="e">
        <f ca="1"/>
        <v>#NAME?</v>
      </c>
      <c r="AA59" t="e">
        <f ca="1"/>
        <v>#NAME?</v>
      </c>
      <c r="AB59" t="e">
        <f ca="1"/>
        <v>#NAME?</v>
      </c>
      <c r="AC59" t="e">
        <f t="shared" ca="1" si="2"/>
        <v>#NAME?</v>
      </c>
      <c r="AD59" t="e">
        <f t="shared" ca="1" si="3"/>
        <v>#NAME?</v>
      </c>
      <c r="AE59" t="e">
        <f t="shared" ca="1" si="1"/>
        <v>#NAME?</v>
      </c>
      <c r="AF59" t="e">
        <f ca="1"/>
        <v>#NAME?</v>
      </c>
      <c r="AG59" t="e">
        <f ca="1"/>
        <v>#NAME?</v>
      </c>
      <c r="AH59" t="e">
        <f ca="1"/>
        <v>#NAME?</v>
      </c>
      <c r="AI59" t="e">
        <f ca="1"/>
        <v>#NAME?</v>
      </c>
      <c r="AJ59" t="e">
        <f ca="1"/>
        <v>#NAME?</v>
      </c>
      <c r="AK59" t="e">
        <f ca="1"/>
        <v>#NAME?</v>
      </c>
      <c r="AL59" t="e">
        <f ca="1"/>
        <v>#NAME?</v>
      </c>
      <c r="AM59" t="e">
        <f ca="1"/>
        <v>#NAME?</v>
      </c>
      <c r="AN59" t="e">
        <f ca="1"/>
        <v>#NAME?</v>
      </c>
      <c r="AO59" t="e">
        <f ca="1"/>
        <v>#NAME?</v>
      </c>
      <c r="AP59" t="e">
        <f ca="1"/>
        <v>#NAME?</v>
      </c>
      <c r="AQ59" t="e">
        <f ca="1"/>
        <v>#NAME?</v>
      </c>
      <c r="AR59" t="e">
        <f ca="1"/>
        <v>#NAME?</v>
      </c>
      <c r="AS59" t="e">
        <f ca="1"/>
        <v>#NAME?</v>
      </c>
      <c r="AT59" t="e">
        <f ca="1"/>
        <v>#NAME?</v>
      </c>
    </row>
    <row r="60" spans="1:46" x14ac:dyDescent="0.3">
      <c r="A60" s="26">
        <f ca="1"/>
        <v>58</v>
      </c>
      <c r="B60" s="28" t="s">
        <v>327</v>
      </c>
      <c r="C60" s="28" t="s">
        <v>2503</v>
      </c>
      <c r="D60" s="31" t="str">
        <f ca="1"/>
        <v/>
      </c>
      <c r="F60">
        <f ca="1"/>
        <v>19</v>
      </c>
      <c r="G60">
        <f ca="1"/>
        <v>2</v>
      </c>
      <c r="H60" s="28" t="str">
        <f ca="1"/>
        <v>Purificador de Agua@@@@@@@@058</v>
      </c>
      <c r="I60" s="28" t="str">
        <f ca="1"/>
        <v>PA@058</v>
      </c>
      <c r="J60" s="28" t="e">
        <f ca="1"/>
        <v>#NAME?</v>
      </c>
      <c r="K60" s="28" t="e">
        <f ca="1"/>
        <v>#NAME?</v>
      </c>
      <c r="L60" s="28" t="e">
        <f ca="1"/>
        <v>#NAME?</v>
      </c>
      <c r="M60" s="28" t="e">
        <f ca="1"/>
        <v>#NAME?</v>
      </c>
      <c r="N60" t="e">
        <f ca="1"/>
        <v>#NAME?</v>
      </c>
      <c r="O60" t="e">
        <f ca="1"/>
        <v>#NAME?</v>
      </c>
      <c r="P60" t="str">
        <f ca="1"/>
        <v/>
      </c>
      <c r="Q60" t="str">
        <f ca="1"/>
        <v/>
      </c>
      <c r="R60">
        <f ca="1"/>
        <v>0</v>
      </c>
      <c r="S60" t="str">
        <f ca="1"/>
        <v>Purificador de Agua</v>
      </c>
      <c r="T60" t="str">
        <f ca="1"/>
        <v>PA</v>
      </c>
      <c r="U60" t="e">
        <f ca="1"/>
        <v>#NAME?</v>
      </c>
      <c r="V60" t="e">
        <f ca="1"/>
        <v>#NAME?</v>
      </c>
      <c r="W60" t="e">
        <f ca="1"/>
        <v>#NAME?</v>
      </c>
      <c r="X60" t="e">
        <f ca="1"/>
        <v>#NAME?</v>
      </c>
      <c r="Y60" t="e" cm="1">
        <f t="array" aca="1" ref="Y60" ca="1">IF(W60&lt;&gt;"", SUMPRODUCT( (input!H:H=tipos_eqs!W60)*1 ), "")</f>
        <v>#NAME?</v>
      </c>
      <c r="Z60" t="e">
        <f ca="1"/>
        <v>#NAME?</v>
      </c>
      <c r="AA60" t="e">
        <f ca="1"/>
        <v>#NAME?</v>
      </c>
      <c r="AB60" t="e">
        <f ca="1"/>
        <v>#NAME?</v>
      </c>
      <c r="AC60" t="e">
        <f t="shared" ca="1" si="2"/>
        <v>#NAME?</v>
      </c>
      <c r="AD60" t="e">
        <f t="shared" ca="1" si="3"/>
        <v>#NAME?</v>
      </c>
      <c r="AE60" t="e">
        <f t="shared" ca="1" si="1"/>
        <v>#NAME?</v>
      </c>
      <c r="AF60" t="e">
        <f ca="1"/>
        <v>#NAME?</v>
      </c>
      <c r="AG60" t="e">
        <f ca="1"/>
        <v>#NAME?</v>
      </c>
      <c r="AH60" t="e">
        <f ca="1"/>
        <v>#NAME?</v>
      </c>
      <c r="AI60" t="e">
        <f ca="1"/>
        <v>#NAME?</v>
      </c>
      <c r="AJ60" t="e">
        <f ca="1"/>
        <v>#NAME?</v>
      </c>
      <c r="AK60" t="e">
        <f ca="1"/>
        <v>#NAME?</v>
      </c>
      <c r="AL60" t="e">
        <f ca="1"/>
        <v>#NAME?</v>
      </c>
      <c r="AM60" t="e">
        <f ca="1"/>
        <v>#NAME?</v>
      </c>
      <c r="AN60" t="e">
        <f ca="1"/>
        <v>#NAME?</v>
      </c>
      <c r="AO60" t="e">
        <f ca="1"/>
        <v>#NAME?</v>
      </c>
      <c r="AP60" t="e">
        <f ca="1"/>
        <v>#NAME?</v>
      </c>
      <c r="AQ60" t="e">
        <f ca="1"/>
        <v>#NAME?</v>
      </c>
      <c r="AR60" t="e">
        <f ca="1"/>
        <v>#NAME?</v>
      </c>
      <c r="AS60" t="e">
        <f ca="1"/>
        <v>#NAME?</v>
      </c>
      <c r="AT60" t="e">
        <f ca="1"/>
        <v>#NAME?</v>
      </c>
    </row>
    <row r="61" spans="1:46" x14ac:dyDescent="0.3">
      <c r="A61" s="26">
        <f ca="1"/>
        <v>59</v>
      </c>
      <c r="B61" s="28" t="s">
        <v>906</v>
      </c>
      <c r="C61" s="28" t="s">
        <v>2504</v>
      </c>
      <c r="D61" s="31" t="str">
        <f ca="1"/>
        <v/>
      </c>
      <c r="F61">
        <f ca="1"/>
        <v>15</v>
      </c>
      <c r="G61">
        <f ca="1"/>
        <v>2</v>
      </c>
      <c r="H61" s="28" t="str">
        <f ca="1"/>
        <v>Purificador Gás@@@@@@@@@@@@059</v>
      </c>
      <c r="I61" s="28" t="str">
        <f ca="1"/>
        <v>PG@059</v>
      </c>
      <c r="J61" s="28" t="e">
        <f ca="1"/>
        <v>#NAME?</v>
      </c>
      <c r="K61" s="28" t="e">
        <f ca="1"/>
        <v>#NAME?</v>
      </c>
      <c r="L61" s="28" t="e">
        <f ca="1"/>
        <v>#NAME?</v>
      </c>
      <c r="M61" s="28" t="e">
        <f ca="1"/>
        <v>#NAME?</v>
      </c>
      <c r="N61" t="e">
        <f ca="1"/>
        <v>#NAME?</v>
      </c>
      <c r="O61" t="e">
        <f ca="1"/>
        <v>#NAME?</v>
      </c>
      <c r="P61" t="str">
        <f ca="1"/>
        <v/>
      </c>
      <c r="Q61" t="str">
        <f ca="1"/>
        <v/>
      </c>
      <c r="R61">
        <f ca="1"/>
        <v>0</v>
      </c>
      <c r="S61" t="str">
        <f ca="1"/>
        <v>Purificador Gás</v>
      </c>
      <c r="T61" t="str">
        <f ca="1"/>
        <v>PG</v>
      </c>
      <c r="U61" t="e">
        <f ca="1"/>
        <v>#NAME?</v>
      </c>
      <c r="V61" t="e">
        <f ca="1"/>
        <v>#NAME?</v>
      </c>
      <c r="W61" t="e">
        <f ca="1"/>
        <v>#NAME?</v>
      </c>
      <c r="X61" t="e">
        <f ca="1"/>
        <v>#NAME?</v>
      </c>
      <c r="Y61" t="e" cm="1">
        <f t="array" aca="1" ref="Y61" ca="1">IF(W61&lt;&gt;"", SUMPRODUCT( (input!H:H=tipos_eqs!W61)*1 ), "")</f>
        <v>#NAME?</v>
      </c>
      <c r="Z61" t="e">
        <f ca="1"/>
        <v>#NAME?</v>
      </c>
      <c r="AA61" t="e">
        <f ca="1"/>
        <v>#NAME?</v>
      </c>
      <c r="AB61" t="e">
        <f ca="1"/>
        <v>#NAME?</v>
      </c>
      <c r="AC61" t="e">
        <f t="shared" ca="1" si="2"/>
        <v>#NAME?</v>
      </c>
      <c r="AD61" t="e">
        <f t="shared" ca="1" si="3"/>
        <v>#NAME?</v>
      </c>
      <c r="AE61" t="e">
        <f t="shared" ca="1" si="1"/>
        <v>#NAME?</v>
      </c>
      <c r="AF61" t="e">
        <f ca="1"/>
        <v>#NAME?</v>
      </c>
      <c r="AG61" t="e">
        <f ca="1"/>
        <v>#NAME?</v>
      </c>
      <c r="AH61" t="e">
        <f ca="1"/>
        <v>#NAME?</v>
      </c>
      <c r="AI61" t="e">
        <f ca="1"/>
        <v>#NAME?</v>
      </c>
      <c r="AJ61" t="e">
        <f ca="1"/>
        <v>#NAME?</v>
      </c>
      <c r="AK61" t="e">
        <f ca="1"/>
        <v>#NAME?</v>
      </c>
      <c r="AL61" t="e">
        <f ca="1"/>
        <v>#NAME?</v>
      </c>
      <c r="AM61" t="e">
        <f ca="1"/>
        <v>#NAME?</v>
      </c>
      <c r="AN61" t="e">
        <f ca="1"/>
        <v>#NAME?</v>
      </c>
      <c r="AO61" t="e">
        <f ca="1"/>
        <v>#NAME?</v>
      </c>
      <c r="AP61" t="e">
        <f ca="1"/>
        <v>#NAME?</v>
      </c>
      <c r="AQ61" t="e">
        <f ca="1"/>
        <v>#NAME?</v>
      </c>
      <c r="AR61" t="e">
        <f ca="1"/>
        <v>#NAME?</v>
      </c>
      <c r="AS61" t="e">
        <f ca="1"/>
        <v>#NAME?</v>
      </c>
      <c r="AT61" t="e">
        <f ca="1"/>
        <v>#NAME?</v>
      </c>
    </row>
    <row r="62" spans="1:46" x14ac:dyDescent="0.3">
      <c r="A62" s="26">
        <f ca="1"/>
        <v>60</v>
      </c>
      <c r="B62" s="28" t="s">
        <v>261</v>
      </c>
      <c r="C62" s="28" t="s">
        <v>2505</v>
      </c>
      <c r="D62" s="31" t="str">
        <f ca="1"/>
        <v/>
      </c>
      <c r="F62">
        <f ca="1"/>
        <v>10</v>
      </c>
      <c r="G62">
        <f ca="1"/>
        <v>2</v>
      </c>
      <c r="H62" s="28" t="str">
        <f ca="1"/>
        <v>Quarteador@@@@@@@@@@@@@@@@@060</v>
      </c>
      <c r="I62" s="28" t="str">
        <f ca="1"/>
        <v>QT@060</v>
      </c>
      <c r="J62" s="28" t="e">
        <f ca="1"/>
        <v>#NAME?</v>
      </c>
      <c r="K62" s="28" t="e">
        <f ca="1"/>
        <v>#NAME?</v>
      </c>
      <c r="L62" s="28" t="e">
        <f ca="1"/>
        <v>#NAME?</v>
      </c>
      <c r="M62" s="28" t="e">
        <f ca="1"/>
        <v>#NAME?</v>
      </c>
      <c r="N62" t="e">
        <f ca="1"/>
        <v>#NAME?</v>
      </c>
      <c r="O62" t="e">
        <f ca="1"/>
        <v>#NAME?</v>
      </c>
      <c r="P62" t="str">
        <f ca="1"/>
        <v/>
      </c>
      <c r="Q62" t="str">
        <f ca="1"/>
        <v/>
      </c>
      <c r="R62">
        <f ca="1"/>
        <v>0</v>
      </c>
      <c r="S62" t="str">
        <f ca="1"/>
        <v>Quarteador</v>
      </c>
      <c r="T62" t="str">
        <f ca="1"/>
        <v>QT</v>
      </c>
      <c r="U62" t="e">
        <f ca="1"/>
        <v>#NAME?</v>
      </c>
      <c r="V62" t="e">
        <f ca="1"/>
        <v>#NAME?</v>
      </c>
      <c r="W62" t="e">
        <f ca="1"/>
        <v>#NAME?</v>
      </c>
      <c r="X62" t="e">
        <f ca="1"/>
        <v>#NAME?</v>
      </c>
      <c r="Y62" t="e" cm="1">
        <f t="array" aca="1" ref="Y62" ca="1">IF(W62&lt;&gt;"", SUMPRODUCT( (input!H:H=tipos_eqs!W62)*1 ), "")</f>
        <v>#NAME?</v>
      </c>
      <c r="Z62" t="e">
        <f ca="1"/>
        <v>#NAME?</v>
      </c>
      <c r="AA62" t="e">
        <f ca="1"/>
        <v>#NAME?</v>
      </c>
      <c r="AB62" t="e">
        <f ca="1"/>
        <v>#NAME?</v>
      </c>
      <c r="AC62" t="e">
        <f t="shared" ca="1" si="2"/>
        <v>#NAME?</v>
      </c>
      <c r="AD62" t="e">
        <f t="shared" ca="1" si="3"/>
        <v>#NAME?</v>
      </c>
      <c r="AE62" t="e">
        <f t="shared" ca="1" si="1"/>
        <v>#NAME?</v>
      </c>
      <c r="AF62" t="e">
        <f ca="1"/>
        <v>#NAME?</v>
      </c>
      <c r="AG62" t="e">
        <f ca="1"/>
        <v>#NAME?</v>
      </c>
      <c r="AH62" t="e">
        <f ca="1"/>
        <v>#NAME?</v>
      </c>
      <c r="AI62" t="e">
        <f ca="1"/>
        <v>#NAME?</v>
      </c>
      <c r="AJ62" t="e">
        <f ca="1"/>
        <v>#NAME?</v>
      </c>
      <c r="AK62" t="e">
        <f ca="1"/>
        <v>#NAME?</v>
      </c>
      <c r="AL62" t="e">
        <f ca="1"/>
        <v>#NAME?</v>
      </c>
      <c r="AM62" t="e">
        <f ca="1"/>
        <v>#NAME?</v>
      </c>
      <c r="AN62" t="e">
        <f ca="1"/>
        <v>#NAME?</v>
      </c>
      <c r="AO62" t="e">
        <f ca="1"/>
        <v>#NAME?</v>
      </c>
      <c r="AP62" t="e">
        <f ca="1"/>
        <v>#NAME?</v>
      </c>
      <c r="AQ62" t="e">
        <f ca="1"/>
        <v>#NAME?</v>
      </c>
      <c r="AR62" t="e">
        <f ca="1"/>
        <v>#NAME?</v>
      </c>
      <c r="AS62" t="e">
        <f ca="1"/>
        <v>#NAME?</v>
      </c>
      <c r="AT62" t="e">
        <f ca="1"/>
        <v>#NAME?</v>
      </c>
    </row>
    <row r="63" spans="1:46" x14ac:dyDescent="0.3">
      <c r="A63" s="26">
        <f ca="1"/>
        <v>61</v>
      </c>
      <c r="B63" s="28" t="s">
        <v>63</v>
      </c>
      <c r="C63" s="28" t="s">
        <v>2506</v>
      </c>
      <c r="D63" s="31" t="str">
        <f ca="1"/>
        <v/>
      </c>
      <c r="F63">
        <f ca="1"/>
        <v>9</v>
      </c>
      <c r="G63">
        <f ca="1"/>
        <v>2</v>
      </c>
      <c r="H63" s="28" t="str">
        <f ca="1"/>
        <v>Queimador@@@@@@@@@@@@@@@@@@061</v>
      </c>
      <c r="I63" s="28" t="str">
        <f ca="1"/>
        <v>QE@061</v>
      </c>
      <c r="J63" s="28" t="e">
        <f ca="1"/>
        <v>#NAME?</v>
      </c>
      <c r="K63" s="28" t="e">
        <f ca="1"/>
        <v>#NAME?</v>
      </c>
      <c r="L63" s="28" t="e">
        <f ca="1"/>
        <v>#NAME?</v>
      </c>
      <c r="M63" s="28" t="e">
        <f ca="1"/>
        <v>#NAME?</v>
      </c>
      <c r="N63" t="e">
        <f ca="1"/>
        <v>#NAME?</v>
      </c>
      <c r="O63" t="e">
        <f ca="1"/>
        <v>#NAME?</v>
      </c>
      <c r="P63" t="str">
        <f ca="1"/>
        <v/>
      </c>
      <c r="Q63" t="str">
        <f ca="1"/>
        <v/>
      </c>
      <c r="R63">
        <f ca="1"/>
        <v>0</v>
      </c>
      <c r="S63" t="str">
        <f ca="1"/>
        <v>Queimador</v>
      </c>
      <c r="T63" t="str">
        <f ca="1"/>
        <v>QE</v>
      </c>
      <c r="U63" t="e">
        <f ca="1"/>
        <v>#NAME?</v>
      </c>
      <c r="V63" t="e">
        <f ca="1"/>
        <v>#NAME?</v>
      </c>
      <c r="W63" t="e">
        <f ca="1"/>
        <v>#NAME?</v>
      </c>
      <c r="X63" t="e">
        <f ca="1"/>
        <v>#NAME?</v>
      </c>
      <c r="Y63" t="e" cm="1">
        <f t="array" aca="1" ref="Y63" ca="1">IF(W63&lt;&gt;"", SUMPRODUCT( (input!H:H=tipos_eqs!W63)*1 ), "")</f>
        <v>#NAME?</v>
      </c>
      <c r="Z63" t="e">
        <f ca="1"/>
        <v>#NAME?</v>
      </c>
      <c r="AA63" t="e">
        <f ca="1"/>
        <v>#NAME?</v>
      </c>
      <c r="AB63" t="e">
        <f ca="1"/>
        <v>#NAME?</v>
      </c>
      <c r="AC63" t="e">
        <f t="shared" ca="1" si="2"/>
        <v>#NAME?</v>
      </c>
      <c r="AD63" t="e">
        <f t="shared" ca="1" si="3"/>
        <v>#NAME?</v>
      </c>
      <c r="AE63" t="e">
        <f t="shared" ca="1" si="1"/>
        <v>#NAME?</v>
      </c>
      <c r="AF63" t="e">
        <f ca="1"/>
        <v>#NAME?</v>
      </c>
      <c r="AG63" t="e">
        <f ca="1"/>
        <v>#NAME?</v>
      </c>
      <c r="AH63" t="e">
        <f ca="1"/>
        <v>#NAME?</v>
      </c>
      <c r="AI63" t="e">
        <f ca="1"/>
        <v>#NAME?</v>
      </c>
      <c r="AJ63" t="e">
        <f ca="1"/>
        <v>#NAME?</v>
      </c>
      <c r="AK63" t="e">
        <f ca="1"/>
        <v>#NAME?</v>
      </c>
      <c r="AL63" t="e">
        <f ca="1"/>
        <v>#NAME?</v>
      </c>
      <c r="AM63" t="e">
        <f ca="1"/>
        <v>#NAME?</v>
      </c>
      <c r="AN63" t="e">
        <f ca="1"/>
        <v>#NAME?</v>
      </c>
      <c r="AO63" t="e">
        <f ca="1"/>
        <v>#NAME?</v>
      </c>
      <c r="AP63" t="e">
        <f ca="1"/>
        <v>#NAME?</v>
      </c>
      <c r="AQ63" t="e">
        <f ca="1"/>
        <v>#NAME?</v>
      </c>
      <c r="AR63" t="e">
        <f ca="1"/>
        <v>#NAME?</v>
      </c>
      <c r="AS63" t="e">
        <f ca="1"/>
        <v>#NAME?</v>
      </c>
      <c r="AT63" t="e">
        <f ca="1"/>
        <v>#NAME?</v>
      </c>
    </row>
    <row r="64" spans="1:46" x14ac:dyDescent="0.3">
      <c r="A64" s="26">
        <f ca="1"/>
        <v>62</v>
      </c>
      <c r="B64" s="28" t="s">
        <v>885</v>
      </c>
      <c r="C64" s="28" t="s">
        <v>2507</v>
      </c>
      <c r="D64" s="31" t="str">
        <f ca="1"/>
        <v/>
      </c>
      <c r="F64">
        <f ca="1"/>
        <v>6</v>
      </c>
      <c r="G64">
        <f ca="1"/>
        <v>2</v>
      </c>
      <c r="H64" s="28" t="str">
        <f ca="1"/>
        <v>Reator@@@@@@@@@@@@@@@@@@@@@062</v>
      </c>
      <c r="I64" s="28" t="str">
        <f ca="1"/>
        <v>RT@062</v>
      </c>
      <c r="J64" s="28" t="e">
        <f ca="1"/>
        <v>#NAME?</v>
      </c>
      <c r="K64" s="28" t="e">
        <f ca="1"/>
        <v>#NAME?</v>
      </c>
      <c r="L64" s="28" t="e">
        <f ca="1"/>
        <v>#NAME?</v>
      </c>
      <c r="M64" s="28" t="e">
        <f ca="1"/>
        <v>#NAME?</v>
      </c>
      <c r="N64" t="e">
        <f ca="1"/>
        <v>#NAME?</v>
      </c>
      <c r="O64" t="e">
        <f ca="1"/>
        <v>#NAME?</v>
      </c>
      <c r="P64" t="str">
        <f ca="1"/>
        <v/>
      </c>
      <c r="Q64" t="str">
        <f ca="1"/>
        <v/>
      </c>
      <c r="R64">
        <f ca="1"/>
        <v>0</v>
      </c>
      <c r="S64" t="str">
        <f ca="1"/>
        <v>Reator</v>
      </c>
      <c r="T64" t="str">
        <f ca="1"/>
        <v>RT</v>
      </c>
      <c r="U64" t="e">
        <f ca="1"/>
        <v>#NAME?</v>
      </c>
      <c r="V64" t="e">
        <f ca="1"/>
        <v>#NAME?</v>
      </c>
      <c r="W64" t="e">
        <f ca="1"/>
        <v>#NAME?</v>
      </c>
      <c r="X64" t="e">
        <f ca="1"/>
        <v>#NAME?</v>
      </c>
      <c r="Y64" t="e" cm="1">
        <f t="array" aca="1" ref="Y64" ca="1">IF(W64&lt;&gt;"", SUMPRODUCT( (input!H:H=tipos_eqs!W64)*1 ), "")</f>
        <v>#NAME?</v>
      </c>
      <c r="Z64" t="e">
        <f ca="1"/>
        <v>#NAME?</v>
      </c>
      <c r="AA64" t="e">
        <f ca="1"/>
        <v>#NAME?</v>
      </c>
      <c r="AB64" t="e">
        <f ca="1"/>
        <v>#NAME?</v>
      </c>
      <c r="AC64" t="e">
        <f t="shared" ca="1" si="2"/>
        <v>#NAME?</v>
      </c>
      <c r="AD64" t="e">
        <f t="shared" ca="1" si="3"/>
        <v>#NAME?</v>
      </c>
      <c r="AE64" t="e">
        <f t="shared" ca="1" si="1"/>
        <v>#NAME?</v>
      </c>
      <c r="AF64" t="e">
        <f ca="1"/>
        <v>#NAME?</v>
      </c>
      <c r="AG64" t="e">
        <f ca="1"/>
        <v>#NAME?</v>
      </c>
      <c r="AH64" t="e">
        <f ca="1"/>
        <v>#NAME?</v>
      </c>
      <c r="AI64" t="e">
        <f ca="1"/>
        <v>#NAME?</v>
      </c>
      <c r="AJ64" t="e">
        <f ca="1"/>
        <v>#NAME?</v>
      </c>
      <c r="AK64" t="e">
        <f ca="1"/>
        <v>#NAME?</v>
      </c>
      <c r="AL64" t="e">
        <f ca="1"/>
        <v>#NAME?</v>
      </c>
      <c r="AM64" t="e">
        <f ca="1"/>
        <v>#NAME?</v>
      </c>
      <c r="AN64" t="e">
        <f ca="1"/>
        <v>#NAME?</v>
      </c>
      <c r="AO64" t="e">
        <f ca="1"/>
        <v>#NAME?</v>
      </c>
      <c r="AP64" t="e">
        <f ca="1"/>
        <v>#NAME?</v>
      </c>
      <c r="AQ64" t="e">
        <f ca="1"/>
        <v>#NAME?</v>
      </c>
      <c r="AR64" t="e">
        <f ca="1"/>
        <v>#NAME?</v>
      </c>
      <c r="AS64" t="e">
        <f ca="1"/>
        <v>#NAME?</v>
      </c>
      <c r="AT64" t="e">
        <f ca="1"/>
        <v>#NAME?</v>
      </c>
    </row>
    <row r="65" spans="1:46" x14ac:dyDescent="0.3">
      <c r="A65" s="26">
        <f ca="1"/>
        <v>63</v>
      </c>
      <c r="B65" s="28" t="s">
        <v>253</v>
      </c>
      <c r="C65" s="28" t="s">
        <v>2508</v>
      </c>
      <c r="D65" s="31" t="str">
        <f ca="1"/>
        <v/>
      </c>
      <c r="F65">
        <f ca="1"/>
        <v>12</v>
      </c>
      <c r="G65">
        <f ca="1"/>
        <v>2</v>
      </c>
      <c r="H65" s="28" t="str">
        <f ca="1"/>
        <v>Refrigerador@@@@@@@@@@@@@@@063</v>
      </c>
      <c r="I65" s="28" t="str">
        <f ca="1"/>
        <v>RE@063</v>
      </c>
      <c r="J65" s="28" t="e">
        <f ca="1"/>
        <v>#NAME?</v>
      </c>
      <c r="K65" s="28" t="e">
        <f ca="1"/>
        <v>#NAME?</v>
      </c>
      <c r="L65" s="28" t="e">
        <f ca="1"/>
        <v>#NAME?</v>
      </c>
      <c r="M65" s="28" t="e">
        <f ca="1"/>
        <v>#NAME?</v>
      </c>
      <c r="N65" t="e">
        <f ca="1"/>
        <v>#NAME?</v>
      </c>
      <c r="O65" t="e">
        <f ca="1"/>
        <v>#NAME?</v>
      </c>
      <c r="P65" t="str">
        <f ca="1"/>
        <v/>
      </c>
      <c r="Q65" t="str">
        <f ca="1"/>
        <v/>
      </c>
      <c r="R65">
        <f ca="1"/>
        <v>0</v>
      </c>
      <c r="S65" t="str">
        <f ca="1"/>
        <v>Refrigerador</v>
      </c>
      <c r="T65" t="str">
        <f ca="1"/>
        <v>RE</v>
      </c>
      <c r="U65" t="e">
        <f ca="1"/>
        <v>#NAME?</v>
      </c>
      <c r="V65" t="e">
        <f ca="1"/>
        <v>#NAME?</v>
      </c>
      <c r="W65" t="e">
        <f ca="1"/>
        <v>#NAME?</v>
      </c>
      <c r="X65" t="e">
        <f ca="1"/>
        <v>#NAME?</v>
      </c>
      <c r="Y65" t="e" cm="1">
        <f t="array" aca="1" ref="Y65" ca="1">IF(W65&lt;&gt;"", SUMPRODUCT( (input!H:H=tipos_eqs!W65)*1 ), "")</f>
        <v>#NAME?</v>
      </c>
      <c r="Z65" t="e">
        <f ca="1"/>
        <v>#NAME?</v>
      </c>
      <c r="AA65" t="e">
        <f ca="1"/>
        <v>#NAME?</v>
      </c>
      <c r="AB65" t="e">
        <f ca="1"/>
        <v>#NAME?</v>
      </c>
      <c r="AC65" t="e">
        <f t="shared" ca="1" si="2"/>
        <v>#NAME?</v>
      </c>
      <c r="AD65" t="e">
        <f t="shared" ca="1" si="3"/>
        <v>#NAME?</v>
      </c>
      <c r="AE65" t="e">
        <f t="shared" ca="1" si="1"/>
        <v>#NAME?</v>
      </c>
      <c r="AF65" t="e">
        <f ca="1"/>
        <v>#NAME?</v>
      </c>
      <c r="AG65" t="e">
        <f ca="1"/>
        <v>#NAME?</v>
      </c>
      <c r="AH65" t="e">
        <f ca="1"/>
        <v>#NAME?</v>
      </c>
      <c r="AI65" t="e">
        <f ca="1"/>
        <v>#NAME?</v>
      </c>
      <c r="AJ65" t="e">
        <f ca="1"/>
        <v>#NAME?</v>
      </c>
      <c r="AK65" t="e">
        <f ca="1"/>
        <v>#NAME?</v>
      </c>
      <c r="AL65" t="e">
        <f ca="1"/>
        <v>#NAME?</v>
      </c>
      <c r="AM65" t="e">
        <f ca="1"/>
        <v>#NAME?</v>
      </c>
      <c r="AN65" t="e">
        <f ca="1"/>
        <v>#NAME?</v>
      </c>
      <c r="AO65" t="e">
        <f ca="1"/>
        <v>#NAME?</v>
      </c>
      <c r="AP65" t="e">
        <f ca="1"/>
        <v>#NAME?</v>
      </c>
      <c r="AQ65" t="e">
        <f ca="1"/>
        <v>#NAME?</v>
      </c>
      <c r="AR65" t="e">
        <f ca="1"/>
        <v>#NAME?</v>
      </c>
      <c r="AS65" t="e">
        <f ca="1"/>
        <v>#NAME?</v>
      </c>
      <c r="AT65" t="e">
        <f ca="1"/>
        <v>#NAME?</v>
      </c>
    </row>
    <row r="66" spans="1:46" x14ac:dyDescent="0.3">
      <c r="A66" s="26">
        <f ca="1"/>
        <v>64</v>
      </c>
      <c r="B66" s="28" t="s">
        <v>893</v>
      </c>
      <c r="C66" s="28" t="s">
        <v>2509</v>
      </c>
      <c r="D66" s="31" t="str">
        <f ca="1"/>
        <v/>
      </c>
      <c r="F66">
        <f ca="1"/>
        <v>10</v>
      </c>
      <c r="G66">
        <f ca="1"/>
        <v>2</v>
      </c>
      <c r="H66" s="28" t="str">
        <f ca="1"/>
        <v>Resfriador@@@@@@@@@@@@@@@@@064</v>
      </c>
      <c r="I66" s="28" t="str">
        <f ca="1"/>
        <v>RF@064</v>
      </c>
      <c r="J66" s="28" t="e">
        <f ca="1"/>
        <v>#NAME?</v>
      </c>
      <c r="K66" s="28" t="e">
        <f ca="1"/>
        <v>#NAME?</v>
      </c>
      <c r="L66" s="28" t="e">
        <f ca="1"/>
        <v>#NAME?</v>
      </c>
      <c r="M66" s="28" t="e">
        <f ca="1"/>
        <v>#NAME?</v>
      </c>
      <c r="N66" t="e">
        <f ca="1"/>
        <v>#NAME?</v>
      </c>
      <c r="O66" t="e">
        <f ca="1"/>
        <v>#NAME?</v>
      </c>
      <c r="P66" t="str">
        <f ca="1"/>
        <v/>
      </c>
      <c r="Q66" t="str">
        <f ca="1"/>
        <v/>
      </c>
      <c r="R66">
        <f ca="1"/>
        <v>0</v>
      </c>
      <c r="S66" t="str">
        <f ca="1"/>
        <v>Resfriador</v>
      </c>
      <c r="T66" t="str">
        <f ca="1"/>
        <v>RF</v>
      </c>
      <c r="U66" t="e">
        <f ca="1"/>
        <v>#NAME?</v>
      </c>
      <c r="V66" t="e">
        <f ca="1"/>
        <v>#NAME?</v>
      </c>
      <c r="W66" t="e">
        <f ca="1"/>
        <v>#NAME?</v>
      </c>
      <c r="X66" t="e">
        <f ca="1"/>
        <v>#NAME?</v>
      </c>
      <c r="Y66" t="e" cm="1">
        <f t="array" aca="1" ref="Y66" ca="1">IF(W66&lt;&gt;"", SUMPRODUCT( (input!H:H=tipos_eqs!W66)*1 ), "")</f>
        <v>#NAME?</v>
      </c>
      <c r="Z66" t="e">
        <f ca="1"/>
        <v>#NAME?</v>
      </c>
      <c r="AA66" t="e">
        <f ca="1"/>
        <v>#NAME?</v>
      </c>
      <c r="AB66" t="e">
        <f ca="1"/>
        <v>#NAME?</v>
      </c>
      <c r="AC66" t="e">
        <f t="shared" ca="1" si="2"/>
        <v>#NAME?</v>
      </c>
      <c r="AD66" t="e">
        <f t="shared" ca="1" si="3"/>
        <v>#NAME?</v>
      </c>
      <c r="AE66" t="e">
        <f t="shared" ca="1" si="1"/>
        <v>#NAME?</v>
      </c>
      <c r="AF66" t="e">
        <f ca="1"/>
        <v>#NAME?</v>
      </c>
      <c r="AG66" t="e">
        <f ca="1"/>
        <v>#NAME?</v>
      </c>
      <c r="AH66" t="e">
        <f ca="1"/>
        <v>#NAME?</v>
      </c>
      <c r="AI66" t="e">
        <f ca="1"/>
        <v>#NAME?</v>
      </c>
      <c r="AJ66" t="e">
        <f ca="1"/>
        <v>#NAME?</v>
      </c>
      <c r="AK66" t="e">
        <f ca="1"/>
        <v>#NAME?</v>
      </c>
      <c r="AL66" t="e">
        <f ca="1"/>
        <v>#NAME?</v>
      </c>
      <c r="AM66" t="e">
        <f ca="1"/>
        <v>#NAME?</v>
      </c>
      <c r="AN66" t="e">
        <f ca="1"/>
        <v>#NAME?</v>
      </c>
      <c r="AO66" t="e">
        <f ca="1"/>
        <v>#NAME?</v>
      </c>
      <c r="AP66" t="e">
        <f ca="1"/>
        <v>#NAME?</v>
      </c>
      <c r="AQ66" t="e">
        <f ca="1"/>
        <v>#NAME?</v>
      </c>
      <c r="AR66" t="e">
        <f ca="1"/>
        <v>#NAME?</v>
      </c>
      <c r="AS66" t="e">
        <f ca="1"/>
        <v>#NAME?</v>
      </c>
      <c r="AT66" t="e">
        <f ca="1"/>
        <v>#NAME?</v>
      </c>
    </row>
    <row r="67" spans="1:46" x14ac:dyDescent="0.3">
      <c r="A67" s="26">
        <f ca="1"/>
        <v>65</v>
      </c>
      <c r="B67" s="28" t="s">
        <v>2189</v>
      </c>
      <c r="C67" s="28" t="s">
        <v>2510</v>
      </c>
      <c r="D67" s="31" t="str">
        <f ca="1"/>
        <v/>
      </c>
      <c r="F67">
        <f ca="1"/>
        <v>4</v>
      </c>
      <c r="G67">
        <f ca="1"/>
        <v>2</v>
      </c>
      <c r="H67" s="28" t="str">
        <f ca="1"/>
        <v>Robô@@@@@@@@@@@@@@@@@@@@@@@065</v>
      </c>
      <c r="I67" s="28" t="str">
        <f ca="1"/>
        <v>RB@065</v>
      </c>
      <c r="J67" s="28" t="e">
        <f ca="1"/>
        <v>#NAME?</v>
      </c>
      <c r="K67" s="28" t="e">
        <f ca="1"/>
        <v>#NAME?</v>
      </c>
      <c r="L67" s="28" t="e">
        <f ca="1"/>
        <v>#NAME?</v>
      </c>
      <c r="M67" s="28" t="e">
        <f ca="1"/>
        <v>#NAME?</v>
      </c>
      <c r="N67" t="e">
        <f ca="1"/>
        <v>#NAME?</v>
      </c>
      <c r="O67" t="e">
        <f ca="1"/>
        <v>#NAME?</v>
      </c>
      <c r="P67" t="str">
        <f ca="1"/>
        <v/>
      </c>
      <c r="Q67" t="str">
        <f ca="1"/>
        <v/>
      </c>
      <c r="R67">
        <f ca="1"/>
        <v>0</v>
      </c>
      <c r="S67" t="str">
        <f ca="1"/>
        <v>Robô</v>
      </c>
      <c r="T67" t="str">
        <f ca="1"/>
        <v>RB</v>
      </c>
      <c r="U67" t="e">
        <f ca="1"/>
        <v>#NAME?</v>
      </c>
      <c r="V67" t="e">
        <f ca="1"/>
        <v>#NAME?</v>
      </c>
      <c r="W67" t="e">
        <f ca="1"/>
        <v>#NAME?</v>
      </c>
      <c r="X67" t="e">
        <f ca="1"/>
        <v>#NAME?</v>
      </c>
      <c r="Y67" t="e" cm="1">
        <f t="array" aca="1" ref="Y67" ca="1">IF(W67&lt;&gt;"", SUMPRODUCT( (input!H:H=tipos_eqs!W67)*1 ), "")</f>
        <v>#NAME?</v>
      </c>
      <c r="Z67" t="e">
        <f ca="1"/>
        <v>#NAME?</v>
      </c>
      <c r="AA67" t="e">
        <f ca="1"/>
        <v>#NAME?</v>
      </c>
      <c r="AB67" t="e">
        <f ca="1"/>
        <v>#NAME?</v>
      </c>
      <c r="AC67" t="e">
        <f t="shared" ca="1" si="2"/>
        <v>#NAME?</v>
      </c>
      <c r="AD67" t="e">
        <f t="shared" ca="1" si="3"/>
        <v>#NAME?</v>
      </c>
      <c r="AE67" t="e">
        <f t="shared" ca="1" si="1"/>
        <v>#NAME?</v>
      </c>
      <c r="AF67" t="e">
        <f ca="1"/>
        <v>#NAME?</v>
      </c>
      <c r="AG67" t="e">
        <f ca="1"/>
        <v>#NAME?</v>
      </c>
      <c r="AH67" t="e">
        <f ca="1"/>
        <v>#NAME?</v>
      </c>
      <c r="AI67" t="e">
        <f ca="1"/>
        <v>#NAME?</v>
      </c>
      <c r="AJ67" t="e">
        <f ca="1"/>
        <v>#NAME?</v>
      </c>
      <c r="AK67" t="e">
        <f ca="1"/>
        <v>#NAME?</v>
      </c>
      <c r="AL67" t="e">
        <f ca="1"/>
        <v>#NAME?</v>
      </c>
      <c r="AM67" t="e">
        <f ca="1"/>
        <v>#NAME?</v>
      </c>
      <c r="AN67" t="e">
        <f ca="1"/>
        <v>#NAME?</v>
      </c>
      <c r="AO67" t="e">
        <f ca="1"/>
        <v>#NAME?</v>
      </c>
      <c r="AP67" t="e">
        <f ca="1"/>
        <v>#NAME?</v>
      </c>
      <c r="AQ67" t="e">
        <f ca="1"/>
        <v>#NAME?</v>
      </c>
      <c r="AR67" t="e">
        <f ca="1"/>
        <v>#NAME?</v>
      </c>
      <c r="AS67" t="e">
        <f ca="1"/>
        <v>#NAME?</v>
      </c>
      <c r="AT67" t="e">
        <f ca="1"/>
        <v>#NAME?</v>
      </c>
    </row>
    <row r="68" spans="1:46" x14ac:dyDescent="0.3">
      <c r="A68" s="26">
        <f ca="1"/>
        <v>66</v>
      </c>
      <c r="B68" s="28" t="s">
        <v>246</v>
      </c>
      <c r="C68" s="28" t="s">
        <v>2511</v>
      </c>
      <c r="D68" s="31" t="str">
        <f ca="1"/>
        <v/>
      </c>
      <c r="F68">
        <f ca="1"/>
        <v>7</v>
      </c>
      <c r="G68">
        <f ca="1"/>
        <v>2</v>
      </c>
      <c r="H68" s="28" t="str">
        <f ca="1"/>
        <v>Secador@@@@@@@@@@@@@@@@@@@@066</v>
      </c>
      <c r="I68" s="28" t="str">
        <f ca="1"/>
        <v>SC@066</v>
      </c>
      <c r="J68" s="28" t="e">
        <f ca="1"/>
        <v>#NAME?</v>
      </c>
      <c r="K68" s="28" t="e">
        <f ca="1"/>
        <v>#NAME?</v>
      </c>
      <c r="L68" s="28" t="e">
        <f ca="1"/>
        <v>#NAME?</v>
      </c>
      <c r="M68" s="28" t="e">
        <f ca="1"/>
        <v>#NAME?</v>
      </c>
      <c r="N68" t="e">
        <f ca="1"/>
        <v>#NAME?</v>
      </c>
      <c r="O68" t="e">
        <f ca="1"/>
        <v>#NAME?</v>
      </c>
      <c r="P68" t="str">
        <f ca="1"/>
        <v/>
      </c>
      <c r="Q68" t="str">
        <f ca="1"/>
        <v/>
      </c>
      <c r="R68">
        <f ca="1"/>
        <v>0</v>
      </c>
      <c r="S68" t="str">
        <f ca="1"/>
        <v>Secador</v>
      </c>
      <c r="T68" t="str">
        <f ca="1"/>
        <v>SC</v>
      </c>
      <c r="U68" t="e">
        <f ca="1"/>
        <v>#NAME?</v>
      </c>
      <c r="V68" t="e">
        <f ca="1"/>
        <v>#NAME?</v>
      </c>
      <c r="W68" t="e">
        <f ca="1"/>
        <v>#NAME?</v>
      </c>
      <c r="X68" t="e">
        <f ca="1"/>
        <v>#NAME?</v>
      </c>
      <c r="Y68" t="e" cm="1">
        <f t="array" aca="1" ref="Y68" ca="1">IF(W68&lt;&gt;"", SUMPRODUCT( (input!H:H=tipos_eqs!W68)*1 ), "")</f>
        <v>#NAME?</v>
      </c>
      <c r="Z68" t="e">
        <f ca="1"/>
        <v>#NAME?</v>
      </c>
      <c r="AA68" t="e">
        <f ca="1"/>
        <v>#NAME?</v>
      </c>
      <c r="AB68" t="e">
        <f ca="1"/>
        <v>#NAME?</v>
      </c>
      <c r="AC68" t="e">
        <f t="shared" ca="1" si="2"/>
        <v>#NAME?</v>
      </c>
      <c r="AD68" t="e">
        <f t="shared" ref="AD68:AD99" ca="1" si="4">IF(AA68=AA67, AD67 &amp; ", ", "") &amp; AC68</f>
        <v>#NAME?</v>
      </c>
      <c r="AE68" t="e">
        <f t="shared" ref="AE68:AE131" ca="1" si="5">IF(ISNUMBER(FIND(AD68,AD69)), "ZZZZZ@@", AD68)</f>
        <v>#NAME?</v>
      </c>
      <c r="AF68" t="e">
        <f ca="1"/>
        <v>#NAME?</v>
      </c>
      <c r="AG68" t="e">
        <f ca="1"/>
        <v>#NAME?</v>
      </c>
      <c r="AH68" t="e">
        <f ca="1"/>
        <v>#NAME?</v>
      </c>
      <c r="AI68" t="e">
        <f ca="1"/>
        <v>#NAME?</v>
      </c>
      <c r="AJ68" t="e">
        <f ca="1"/>
        <v>#NAME?</v>
      </c>
      <c r="AK68" t="e">
        <f ca="1"/>
        <v>#NAME?</v>
      </c>
      <c r="AL68" t="e">
        <f ca="1"/>
        <v>#NAME?</v>
      </c>
      <c r="AM68" t="e">
        <f ca="1"/>
        <v>#NAME?</v>
      </c>
      <c r="AN68" t="e">
        <f ca="1"/>
        <v>#NAME?</v>
      </c>
      <c r="AO68" t="e">
        <f ca="1"/>
        <v>#NAME?</v>
      </c>
      <c r="AP68" t="e">
        <f ca="1"/>
        <v>#NAME?</v>
      </c>
      <c r="AQ68" t="e">
        <f ca="1"/>
        <v>#NAME?</v>
      </c>
      <c r="AR68" t="e">
        <f ca="1"/>
        <v>#NAME?</v>
      </c>
      <c r="AS68" t="e">
        <f ca="1"/>
        <v>#NAME?</v>
      </c>
      <c r="AT68" t="e">
        <f ca="1"/>
        <v>#NAME?</v>
      </c>
    </row>
    <row r="69" spans="1:46" x14ac:dyDescent="0.3">
      <c r="A69" s="26">
        <f ca="1"/>
        <v>67</v>
      </c>
      <c r="B69" s="28" t="s">
        <v>206</v>
      </c>
      <c r="C69" s="28" t="s">
        <v>2512</v>
      </c>
      <c r="D69" s="31" t="str">
        <f ca="1"/>
        <v/>
      </c>
      <c r="F69">
        <f ca="1"/>
        <v>8</v>
      </c>
      <c r="G69">
        <f ca="1"/>
        <v>2</v>
      </c>
      <c r="H69" s="28" t="str">
        <f ca="1"/>
        <v>Seladora@@@@@@@@@@@@@@@@@@@067</v>
      </c>
      <c r="I69" s="28" t="str">
        <f ca="1"/>
        <v>SL@067</v>
      </c>
      <c r="J69" s="28" t="e">
        <f ca="1"/>
        <v>#NAME?</v>
      </c>
      <c r="K69" s="28" t="e">
        <f ca="1"/>
        <v>#NAME?</v>
      </c>
      <c r="L69" s="28" t="e">
        <f ca="1"/>
        <v>#NAME?</v>
      </c>
      <c r="M69" s="28" t="e">
        <f ca="1"/>
        <v>#NAME?</v>
      </c>
      <c r="N69" t="e">
        <f ca="1"/>
        <v>#NAME?</v>
      </c>
      <c r="O69" t="e">
        <f ca="1"/>
        <v>#NAME?</v>
      </c>
      <c r="P69" t="str">
        <f ca="1"/>
        <v/>
      </c>
      <c r="Q69" t="str">
        <f ca="1"/>
        <v/>
      </c>
      <c r="R69">
        <f ca="1"/>
        <v>0</v>
      </c>
      <c r="S69" t="str">
        <f ca="1"/>
        <v>Seladora</v>
      </c>
      <c r="T69" t="str">
        <f ca="1"/>
        <v>SL</v>
      </c>
      <c r="U69" t="e">
        <f ca="1"/>
        <v>#NAME?</v>
      </c>
      <c r="V69" t="e">
        <f ca="1"/>
        <v>#NAME?</v>
      </c>
      <c r="W69" t="e">
        <f ca="1"/>
        <v>#NAME?</v>
      </c>
      <c r="X69" t="e">
        <f ca="1"/>
        <v>#NAME?</v>
      </c>
      <c r="Y69" t="e" cm="1">
        <f t="array" aca="1" ref="Y69" ca="1">IF(W69&lt;&gt;"", SUMPRODUCT( (input!H:H=tipos_eqs!W69)*1 ), "")</f>
        <v>#NAME?</v>
      </c>
      <c r="Z69" t="e">
        <f ca="1"/>
        <v>#NAME?</v>
      </c>
      <c r="AA69" t="e">
        <f ca="1"/>
        <v>#NAME?</v>
      </c>
      <c r="AB69" t="e">
        <f ca="1"/>
        <v>#NAME?</v>
      </c>
      <c r="AC69" t="e">
        <f t="shared" ref="AC69:AC132" ca="1" si="6">IF(AA69&gt;0, OFFSET(X$2, AB69, 0), "")</f>
        <v>#NAME?</v>
      </c>
      <c r="AD69" t="e">
        <f t="shared" ca="1" si="4"/>
        <v>#NAME?</v>
      </c>
      <c r="AE69" t="e">
        <f t="shared" ca="1" si="5"/>
        <v>#NAME?</v>
      </c>
      <c r="AF69" t="e">
        <f ca="1"/>
        <v>#NAME?</v>
      </c>
      <c r="AG69" t="e">
        <f ca="1"/>
        <v>#NAME?</v>
      </c>
      <c r="AH69" t="e">
        <f ca="1"/>
        <v>#NAME?</v>
      </c>
      <c r="AI69" t="e">
        <f ca="1"/>
        <v>#NAME?</v>
      </c>
      <c r="AJ69" t="e">
        <f ca="1"/>
        <v>#NAME?</v>
      </c>
      <c r="AK69" t="e">
        <f ca="1"/>
        <v>#NAME?</v>
      </c>
      <c r="AL69" t="e">
        <f ca="1"/>
        <v>#NAME?</v>
      </c>
      <c r="AM69" t="e">
        <f ca="1"/>
        <v>#NAME?</v>
      </c>
      <c r="AN69" t="e">
        <f ca="1"/>
        <v>#NAME?</v>
      </c>
      <c r="AO69" t="e">
        <f ca="1"/>
        <v>#NAME?</v>
      </c>
      <c r="AP69" t="e">
        <f ca="1"/>
        <v>#NAME?</v>
      </c>
      <c r="AQ69" t="e">
        <f ca="1"/>
        <v>#NAME?</v>
      </c>
      <c r="AR69" t="e">
        <f ca="1"/>
        <v>#NAME?</v>
      </c>
      <c r="AS69" t="e">
        <f ca="1"/>
        <v>#NAME?</v>
      </c>
      <c r="AT69" t="e">
        <f ca="1"/>
        <v>#NAME?</v>
      </c>
    </row>
    <row r="70" spans="1:46" x14ac:dyDescent="0.3">
      <c r="A70" s="26">
        <f ca="1"/>
        <v>68</v>
      </c>
      <c r="B70" s="28" t="s">
        <v>226</v>
      </c>
      <c r="C70" s="28" t="s">
        <v>2513</v>
      </c>
      <c r="D70" s="31" t="str">
        <f ca="1"/>
        <v/>
      </c>
      <c r="F70">
        <f ca="1"/>
        <v>20</v>
      </c>
      <c r="G70">
        <f ca="1"/>
        <v>2</v>
      </c>
      <c r="H70" s="28" t="str">
        <f ca="1"/>
        <v>Separador Densitário@@@@@@@068</v>
      </c>
      <c r="I70" s="28" t="str">
        <f ca="1"/>
        <v>SD@068</v>
      </c>
      <c r="J70" s="28" t="e">
        <f ca="1"/>
        <v>#NAME?</v>
      </c>
      <c r="K70" s="28" t="e">
        <f ca="1"/>
        <v>#NAME?</v>
      </c>
      <c r="L70" s="28" t="e">
        <f ca="1"/>
        <v>#NAME?</v>
      </c>
      <c r="M70" s="28" t="e">
        <f ca="1"/>
        <v>#NAME?</v>
      </c>
      <c r="N70" t="e">
        <f ca="1"/>
        <v>#NAME?</v>
      </c>
      <c r="O70" t="e">
        <f ca="1"/>
        <v>#NAME?</v>
      </c>
      <c r="P70" t="str">
        <f ca="1"/>
        <v/>
      </c>
      <c r="Q70" t="str">
        <f ca="1"/>
        <v/>
      </c>
      <c r="R70">
        <f ca="1"/>
        <v>0</v>
      </c>
      <c r="S70" t="str">
        <f ca="1"/>
        <v>Separador Densitário</v>
      </c>
      <c r="T70" t="str">
        <f ca="1"/>
        <v>SD</v>
      </c>
      <c r="U70" t="e">
        <f ca="1"/>
        <v>#NAME?</v>
      </c>
      <c r="V70" t="e">
        <f ca="1"/>
        <v>#NAME?</v>
      </c>
      <c r="W70" t="e">
        <f ca="1"/>
        <v>#NAME?</v>
      </c>
      <c r="X70" t="e">
        <f ca="1"/>
        <v>#NAME?</v>
      </c>
      <c r="Y70" t="e" cm="1">
        <f t="array" aca="1" ref="Y70" ca="1">IF(W70&lt;&gt;"", SUMPRODUCT( (input!H:H=tipos_eqs!W70)*1 ), "")</f>
        <v>#NAME?</v>
      </c>
      <c r="Z70" t="e">
        <f ca="1"/>
        <v>#NAME?</v>
      </c>
      <c r="AA70" t="e">
        <f ca="1"/>
        <v>#NAME?</v>
      </c>
      <c r="AB70" t="e">
        <f ca="1"/>
        <v>#NAME?</v>
      </c>
      <c r="AC70" t="e">
        <f t="shared" ca="1" si="6"/>
        <v>#NAME?</v>
      </c>
      <c r="AD70" t="e">
        <f t="shared" ca="1" si="4"/>
        <v>#NAME?</v>
      </c>
      <c r="AE70" t="e">
        <f t="shared" ca="1" si="5"/>
        <v>#NAME?</v>
      </c>
      <c r="AF70" t="e">
        <f ca="1"/>
        <v>#NAME?</v>
      </c>
      <c r="AG70" t="e">
        <f ca="1"/>
        <v>#NAME?</v>
      </c>
      <c r="AH70" t="e">
        <f ca="1"/>
        <v>#NAME?</v>
      </c>
      <c r="AI70" t="e">
        <f ca="1"/>
        <v>#NAME?</v>
      </c>
      <c r="AJ70" t="e">
        <f ca="1"/>
        <v>#NAME?</v>
      </c>
      <c r="AK70" t="e">
        <f ca="1"/>
        <v>#NAME?</v>
      </c>
      <c r="AL70" t="e">
        <f ca="1"/>
        <v>#NAME?</v>
      </c>
      <c r="AM70" t="e">
        <f ca="1"/>
        <v>#NAME?</v>
      </c>
      <c r="AN70" t="e">
        <f ca="1"/>
        <v>#NAME?</v>
      </c>
      <c r="AO70" t="e">
        <f ca="1"/>
        <v>#NAME?</v>
      </c>
      <c r="AP70" t="e">
        <f ca="1"/>
        <v>#NAME?</v>
      </c>
      <c r="AQ70" t="e">
        <f ca="1"/>
        <v>#NAME?</v>
      </c>
      <c r="AR70" t="e">
        <f ca="1"/>
        <v>#NAME?</v>
      </c>
      <c r="AS70" t="e">
        <f ca="1"/>
        <v>#NAME?</v>
      </c>
      <c r="AT70" t="e">
        <f ca="1"/>
        <v>#NAME?</v>
      </c>
    </row>
    <row r="71" spans="1:46" x14ac:dyDescent="0.3">
      <c r="A71" s="26">
        <f ca="1"/>
        <v>69</v>
      </c>
      <c r="B71" s="29"/>
      <c r="C71" s="29"/>
      <c r="D71" s="31" t="str">
        <f ca="1"/>
        <v>1100</v>
      </c>
      <c r="F71">
        <f ca="1"/>
        <v>0</v>
      </c>
      <c r="G71">
        <f ca="1"/>
        <v>0</v>
      </c>
      <c r="H71" s="28" t="str">
        <f ca="1"/>
        <v>ZZZZZ@@@@@@@@@@@@@@@@@@@@@@@@@@@069</v>
      </c>
      <c r="I71" s="28" t="str">
        <f ca="1"/>
        <v>ZZZZZ@@@069</v>
      </c>
      <c r="J71" s="28" t="e">
        <f ca="1"/>
        <v>#NAME?</v>
      </c>
      <c r="K71" s="28" t="e">
        <f ca="1"/>
        <v>#NAME?</v>
      </c>
      <c r="L71" s="28" t="e">
        <f ca="1"/>
        <v>#NAME?</v>
      </c>
      <c r="M71" s="28" t="e">
        <f ca="1"/>
        <v>#NAME?</v>
      </c>
      <c r="N71" t="e">
        <f ca="1"/>
        <v>#NAME?</v>
      </c>
      <c r="O71" t="e">
        <f ca="1"/>
        <v>#NAME?</v>
      </c>
      <c r="P71" t="str">
        <f ca="1"/>
        <v/>
      </c>
      <c r="Q71" t="str">
        <f ca="1"/>
        <v/>
      </c>
      <c r="R71">
        <f ca="1"/>
        <v>12</v>
      </c>
      <c r="S71" t="str">
        <f ca="1"/>
        <v>ZZZZZ</v>
      </c>
      <c r="T71" t="str">
        <f ca="1"/>
        <v>ZZZZZ</v>
      </c>
      <c r="U71" t="e">
        <f ca="1"/>
        <v>#NAME?</v>
      </c>
      <c r="V71" t="e">
        <f ca="1"/>
        <v>#NAME?</v>
      </c>
      <c r="W71" t="e">
        <f ca="1"/>
        <v>#NAME?</v>
      </c>
      <c r="X71" t="e">
        <f ca="1"/>
        <v>#NAME?</v>
      </c>
      <c r="Y71" t="e" cm="1">
        <f t="array" aca="1" ref="Y71" ca="1">IF(W71&lt;&gt;"", SUMPRODUCT( (input!H:H=tipos_eqs!W71)*1 ), "")</f>
        <v>#NAME?</v>
      </c>
      <c r="Z71" t="e">
        <f ca="1"/>
        <v>#NAME?</v>
      </c>
      <c r="AA71" t="e">
        <f ca="1"/>
        <v>#NAME?</v>
      </c>
      <c r="AB71" t="e">
        <f ca="1"/>
        <v>#NAME?</v>
      </c>
      <c r="AC71" t="e">
        <f t="shared" ca="1" si="6"/>
        <v>#NAME?</v>
      </c>
      <c r="AD71" t="e">
        <f t="shared" ca="1" si="4"/>
        <v>#NAME?</v>
      </c>
      <c r="AE71" t="e">
        <f t="shared" ca="1" si="5"/>
        <v>#NAME?</v>
      </c>
      <c r="AF71" t="e">
        <f ca="1"/>
        <v>#NAME?</v>
      </c>
      <c r="AG71" t="e">
        <f ca="1"/>
        <v>#NAME?</v>
      </c>
      <c r="AH71" t="e">
        <f ca="1"/>
        <v>#NAME?</v>
      </c>
      <c r="AI71" t="e">
        <f ca="1"/>
        <v>#NAME?</v>
      </c>
      <c r="AJ71" t="e">
        <f ca="1"/>
        <v>#NAME?</v>
      </c>
      <c r="AK71" t="e">
        <f ca="1"/>
        <v>#NAME?</v>
      </c>
      <c r="AL71" t="e">
        <f ca="1"/>
        <v>#NAME?</v>
      </c>
      <c r="AM71" t="e">
        <f ca="1"/>
        <v>#NAME?</v>
      </c>
      <c r="AN71" t="e">
        <f ca="1"/>
        <v>#NAME?</v>
      </c>
      <c r="AO71" t="e">
        <f ca="1"/>
        <v>#NAME?</v>
      </c>
      <c r="AP71" t="e">
        <f ca="1"/>
        <v>#NAME?</v>
      </c>
      <c r="AQ71" t="e">
        <f ca="1"/>
        <v>#NAME?</v>
      </c>
      <c r="AR71" t="e">
        <f ca="1"/>
        <v>#NAME?</v>
      </c>
      <c r="AS71" t="e">
        <f ca="1"/>
        <v>#NAME?</v>
      </c>
      <c r="AT71" t="e">
        <f ca="1"/>
        <v>#NAME?</v>
      </c>
    </row>
    <row r="72" spans="1:46" x14ac:dyDescent="0.3">
      <c r="A72" s="26">
        <f ca="1"/>
        <v>70</v>
      </c>
      <c r="B72" s="28" t="s">
        <v>219</v>
      </c>
      <c r="C72" s="28" t="s">
        <v>2514</v>
      </c>
      <c r="D72" s="31" t="str">
        <f ca="1"/>
        <v/>
      </c>
      <c r="F72">
        <f ca="1"/>
        <v>23</v>
      </c>
      <c r="G72">
        <f ca="1"/>
        <v>2</v>
      </c>
      <c r="H72" s="28" t="str">
        <f ca="1"/>
        <v>Separador Eletrostático@@@@070</v>
      </c>
      <c r="I72" s="28" t="str">
        <f ca="1"/>
        <v>SE@070</v>
      </c>
      <c r="J72" s="28" t="e">
        <f ca="1"/>
        <v>#NAME?</v>
      </c>
      <c r="K72" s="28" t="e">
        <f ca="1"/>
        <v>#NAME?</v>
      </c>
      <c r="L72" s="28" t="e">
        <f ca="1"/>
        <v>#NAME?</v>
      </c>
      <c r="M72" s="28" t="e">
        <f ca="1"/>
        <v>#NAME?</v>
      </c>
      <c r="N72" t="e">
        <f ca="1"/>
        <v>#NAME?</v>
      </c>
      <c r="O72" t="e">
        <f ca="1"/>
        <v>#NAME?</v>
      </c>
      <c r="P72" t="str">
        <f ca="1"/>
        <v/>
      </c>
      <c r="Q72" t="str">
        <f ca="1"/>
        <v/>
      </c>
      <c r="R72">
        <f ca="1"/>
        <v>0</v>
      </c>
      <c r="S72" t="str">
        <f ca="1"/>
        <v>Separador Eletrostático</v>
      </c>
      <c r="T72" t="str">
        <f ca="1"/>
        <v>SE</v>
      </c>
      <c r="U72" t="e">
        <f ca="1"/>
        <v>#NAME?</v>
      </c>
      <c r="V72" t="e">
        <f ca="1"/>
        <v>#NAME?</v>
      </c>
      <c r="W72" t="e">
        <f ca="1"/>
        <v>#NAME?</v>
      </c>
      <c r="X72" t="e">
        <f ca="1"/>
        <v>#NAME?</v>
      </c>
      <c r="Y72" t="e" cm="1">
        <f t="array" aca="1" ref="Y72" ca="1">IF(W72&lt;&gt;"", SUMPRODUCT( (input!H:H=tipos_eqs!W72)*1 ), "")</f>
        <v>#NAME?</v>
      </c>
      <c r="Z72" t="e">
        <f ca="1"/>
        <v>#NAME?</v>
      </c>
      <c r="AA72" t="e">
        <f ca="1"/>
        <v>#NAME?</v>
      </c>
      <c r="AB72" t="e">
        <f ca="1"/>
        <v>#NAME?</v>
      </c>
      <c r="AC72" t="e">
        <f t="shared" ca="1" si="6"/>
        <v>#NAME?</v>
      </c>
      <c r="AD72" t="e">
        <f t="shared" ca="1" si="4"/>
        <v>#NAME?</v>
      </c>
      <c r="AE72" t="e">
        <f t="shared" ca="1" si="5"/>
        <v>#NAME?</v>
      </c>
      <c r="AF72" t="e">
        <f ca="1"/>
        <v>#NAME?</v>
      </c>
      <c r="AG72" t="e">
        <f ca="1"/>
        <v>#NAME?</v>
      </c>
      <c r="AH72" t="e">
        <f ca="1"/>
        <v>#NAME?</v>
      </c>
      <c r="AI72" t="e">
        <f ca="1"/>
        <v>#NAME?</v>
      </c>
      <c r="AJ72" t="e">
        <f ca="1"/>
        <v>#NAME?</v>
      </c>
      <c r="AK72" t="e">
        <f ca="1"/>
        <v>#NAME?</v>
      </c>
      <c r="AL72" t="e">
        <f ca="1"/>
        <v>#NAME?</v>
      </c>
      <c r="AM72" t="e">
        <f ca="1"/>
        <v>#NAME?</v>
      </c>
      <c r="AN72" t="e">
        <f ca="1"/>
        <v>#NAME?</v>
      </c>
      <c r="AO72" t="e">
        <f ca="1"/>
        <v>#NAME?</v>
      </c>
      <c r="AP72" t="e">
        <f ca="1"/>
        <v>#NAME?</v>
      </c>
      <c r="AQ72" t="e">
        <f ca="1"/>
        <v>#NAME?</v>
      </c>
      <c r="AR72" t="e">
        <f ca="1"/>
        <v>#NAME?</v>
      </c>
      <c r="AS72" t="e">
        <f ca="1"/>
        <v>#NAME?</v>
      </c>
      <c r="AT72" t="e">
        <f ca="1"/>
        <v>#NAME?</v>
      </c>
    </row>
    <row r="73" spans="1:46" x14ac:dyDescent="0.3">
      <c r="A73" s="26">
        <f ca="1"/>
        <v>71</v>
      </c>
      <c r="B73" s="28" t="s">
        <v>182</v>
      </c>
      <c r="C73" s="28" t="s">
        <v>2515</v>
      </c>
      <c r="D73" s="31" t="str">
        <f ca="1"/>
        <v/>
      </c>
      <c r="F73">
        <f ca="1"/>
        <v>19</v>
      </c>
      <c r="G73">
        <f ca="1"/>
        <v>2</v>
      </c>
      <c r="H73" s="28" t="str">
        <f ca="1"/>
        <v>Separador Magnético@@@@@@@@071</v>
      </c>
      <c r="I73" s="28" t="str">
        <f ca="1"/>
        <v>SM@071</v>
      </c>
      <c r="J73" s="28" t="e">
        <f ca="1"/>
        <v>#NAME?</v>
      </c>
      <c r="K73" s="28" t="e">
        <f ca="1"/>
        <v>#NAME?</v>
      </c>
      <c r="L73" s="28" t="e">
        <f ca="1"/>
        <v>#NAME?</v>
      </c>
      <c r="M73" s="28" t="e">
        <f ca="1"/>
        <v>#NAME?</v>
      </c>
      <c r="N73" t="e">
        <f ca="1"/>
        <v>#NAME?</v>
      </c>
      <c r="O73" t="e">
        <f ca="1"/>
        <v>#NAME?</v>
      </c>
      <c r="P73" t="str">
        <f ca="1"/>
        <v/>
      </c>
      <c r="Q73" t="str">
        <f ca="1"/>
        <v/>
      </c>
      <c r="R73">
        <f ca="1"/>
        <v>0</v>
      </c>
      <c r="S73" t="str">
        <f ca="1"/>
        <v>Separador Magnético</v>
      </c>
      <c r="T73" t="str">
        <f ca="1"/>
        <v>SM</v>
      </c>
      <c r="U73" t="e">
        <f ca="1"/>
        <v>#NAME?</v>
      </c>
      <c r="V73" t="e">
        <f ca="1"/>
        <v>#NAME?</v>
      </c>
      <c r="W73" t="e">
        <f ca="1"/>
        <v>#NAME?</v>
      </c>
      <c r="X73" t="e">
        <f ca="1"/>
        <v>#NAME?</v>
      </c>
      <c r="Y73" t="e" cm="1">
        <f t="array" aca="1" ref="Y73" ca="1">IF(W73&lt;&gt;"", SUMPRODUCT( (input!H:H=tipos_eqs!W73)*1 ), "")</f>
        <v>#NAME?</v>
      </c>
      <c r="Z73" t="e">
        <f ca="1"/>
        <v>#NAME?</v>
      </c>
      <c r="AA73" t="e">
        <f ca="1"/>
        <v>#NAME?</v>
      </c>
      <c r="AB73" t="e">
        <f ca="1"/>
        <v>#NAME?</v>
      </c>
      <c r="AC73" t="e">
        <f t="shared" ca="1" si="6"/>
        <v>#NAME?</v>
      </c>
      <c r="AD73" t="e">
        <f t="shared" ca="1" si="4"/>
        <v>#NAME?</v>
      </c>
      <c r="AE73" t="e">
        <f t="shared" ca="1" si="5"/>
        <v>#NAME?</v>
      </c>
      <c r="AF73" t="e">
        <f ca="1"/>
        <v>#NAME?</v>
      </c>
      <c r="AG73" t="e">
        <f ca="1"/>
        <v>#NAME?</v>
      </c>
      <c r="AH73" t="e">
        <f ca="1"/>
        <v>#NAME?</v>
      </c>
      <c r="AI73" t="e">
        <f ca="1"/>
        <v>#NAME?</v>
      </c>
      <c r="AJ73" t="e">
        <f ca="1"/>
        <v>#NAME?</v>
      </c>
      <c r="AK73" t="e">
        <f ca="1"/>
        <v>#NAME?</v>
      </c>
      <c r="AL73" t="e">
        <f ca="1"/>
        <v>#NAME?</v>
      </c>
      <c r="AM73" t="e">
        <f ca="1"/>
        <v>#NAME?</v>
      </c>
      <c r="AN73" t="e">
        <f ca="1"/>
        <v>#NAME?</v>
      </c>
      <c r="AO73" t="e">
        <f ca="1"/>
        <v>#NAME?</v>
      </c>
      <c r="AP73" t="e">
        <f ca="1"/>
        <v>#NAME?</v>
      </c>
      <c r="AQ73" t="e">
        <f ca="1"/>
        <v>#NAME?</v>
      </c>
      <c r="AR73" t="e">
        <f ca="1"/>
        <v>#NAME?</v>
      </c>
      <c r="AS73" t="e">
        <f ca="1"/>
        <v>#NAME?</v>
      </c>
      <c r="AT73" t="e">
        <f ca="1"/>
        <v>#NAME?</v>
      </c>
    </row>
    <row r="74" spans="1:46" x14ac:dyDescent="0.3">
      <c r="A74" s="26">
        <f ca="1"/>
        <v>72</v>
      </c>
      <c r="B74" s="28" t="s">
        <v>750</v>
      </c>
      <c r="C74" s="28" t="s">
        <v>2516</v>
      </c>
      <c r="D74" s="31" t="str">
        <f ca="1"/>
        <v/>
      </c>
      <c r="F74">
        <f ca="1"/>
        <v>5</v>
      </c>
      <c r="G74">
        <f ca="1"/>
        <v>2</v>
      </c>
      <c r="H74" s="28" t="str">
        <f ca="1"/>
        <v>Serra@@@@@@@@@@@@@@@@@@@@@@072</v>
      </c>
      <c r="I74" s="28" t="str">
        <f ca="1"/>
        <v>SR@072</v>
      </c>
      <c r="J74" s="28" t="e">
        <f ca="1"/>
        <v>#NAME?</v>
      </c>
      <c r="K74" s="28" t="e">
        <f ca="1"/>
        <v>#NAME?</v>
      </c>
      <c r="L74" s="28" t="e">
        <f ca="1"/>
        <v>#NAME?</v>
      </c>
      <c r="M74" s="28" t="e">
        <f ca="1"/>
        <v>#NAME?</v>
      </c>
      <c r="N74" t="e">
        <f ca="1"/>
        <v>#NAME?</v>
      </c>
      <c r="O74" t="e">
        <f ca="1"/>
        <v>#NAME?</v>
      </c>
      <c r="P74" t="str">
        <f ca="1"/>
        <v/>
      </c>
      <c r="Q74" t="str">
        <f ca="1"/>
        <v/>
      </c>
      <c r="R74">
        <f ca="1"/>
        <v>0</v>
      </c>
      <c r="S74" t="str">
        <f ca="1"/>
        <v>Serra</v>
      </c>
      <c r="T74" t="str">
        <f ca="1"/>
        <v>SR</v>
      </c>
      <c r="U74" t="e">
        <f ca="1"/>
        <v>#NAME?</v>
      </c>
      <c r="V74" t="e">
        <f ca="1"/>
        <v>#NAME?</v>
      </c>
      <c r="W74" t="e">
        <f ca="1"/>
        <v>#NAME?</v>
      </c>
      <c r="X74" t="e">
        <f ca="1"/>
        <v>#NAME?</v>
      </c>
      <c r="Y74" t="e" cm="1">
        <f t="array" aca="1" ref="Y74" ca="1">IF(W74&lt;&gt;"", SUMPRODUCT( (input!H:H=tipos_eqs!W74)*1 ), "")</f>
        <v>#NAME?</v>
      </c>
      <c r="Z74" t="e">
        <f ca="1"/>
        <v>#NAME?</v>
      </c>
      <c r="AA74" t="e">
        <f ca="1"/>
        <v>#NAME?</v>
      </c>
      <c r="AB74" t="e">
        <f ca="1"/>
        <v>#NAME?</v>
      </c>
      <c r="AC74" t="e">
        <f t="shared" ca="1" si="6"/>
        <v>#NAME?</v>
      </c>
      <c r="AD74" t="e">
        <f t="shared" ca="1" si="4"/>
        <v>#NAME?</v>
      </c>
      <c r="AE74" t="e">
        <f t="shared" ca="1" si="5"/>
        <v>#NAME?</v>
      </c>
      <c r="AF74" t="e">
        <f ca="1"/>
        <v>#NAME?</v>
      </c>
      <c r="AG74" t="e">
        <f ca="1"/>
        <v>#NAME?</v>
      </c>
      <c r="AH74" t="e">
        <f ca="1"/>
        <v>#NAME?</v>
      </c>
      <c r="AI74" t="e">
        <f ca="1"/>
        <v>#NAME?</v>
      </c>
      <c r="AJ74" t="e">
        <f ca="1"/>
        <v>#NAME?</v>
      </c>
      <c r="AK74" t="e">
        <f ca="1"/>
        <v>#NAME?</v>
      </c>
      <c r="AL74" t="e">
        <f ca="1"/>
        <v>#NAME?</v>
      </c>
      <c r="AM74" t="e">
        <f ca="1"/>
        <v>#NAME?</v>
      </c>
      <c r="AN74" t="e">
        <f ca="1"/>
        <v>#NAME?</v>
      </c>
      <c r="AO74" t="e">
        <f ca="1"/>
        <v>#NAME?</v>
      </c>
      <c r="AP74" t="e">
        <f ca="1"/>
        <v>#NAME?</v>
      </c>
      <c r="AQ74" t="e">
        <f ca="1"/>
        <v>#NAME?</v>
      </c>
      <c r="AR74" t="e">
        <f ca="1"/>
        <v>#NAME?</v>
      </c>
      <c r="AS74" t="e">
        <f ca="1"/>
        <v>#NAME?</v>
      </c>
      <c r="AT74" t="e">
        <f ca="1"/>
        <v>#NAME?</v>
      </c>
    </row>
    <row r="75" spans="1:46" x14ac:dyDescent="0.3">
      <c r="A75" s="26">
        <f ca="1"/>
        <v>73</v>
      </c>
      <c r="B75" s="28" t="s">
        <v>29</v>
      </c>
      <c r="C75" s="28" t="s">
        <v>2517</v>
      </c>
      <c r="D75" s="31" t="str">
        <f ca="1"/>
        <v/>
      </c>
      <c r="F75">
        <f ca="1"/>
        <v>5</v>
      </c>
      <c r="G75">
        <f ca="1"/>
        <v>2</v>
      </c>
      <c r="H75" s="28" t="str">
        <f ca="1"/>
        <v>Solda@@@@@@@@@@@@@@@@@@@@@@073</v>
      </c>
      <c r="I75" s="28" t="str">
        <f ca="1"/>
        <v>SO@073</v>
      </c>
      <c r="J75" s="28" t="e">
        <f ca="1"/>
        <v>#NAME?</v>
      </c>
      <c r="K75" s="28" t="e">
        <f ca="1"/>
        <v>#NAME?</v>
      </c>
      <c r="L75" s="28" t="e">
        <f ca="1"/>
        <v>#NAME?</v>
      </c>
      <c r="M75" s="28" t="e">
        <f ca="1"/>
        <v>#NAME?</v>
      </c>
      <c r="N75" t="e">
        <f ca="1"/>
        <v>#NAME?</v>
      </c>
      <c r="O75" t="e">
        <f ca="1"/>
        <v>#NAME?</v>
      </c>
      <c r="P75" t="str">
        <f ca="1"/>
        <v/>
      </c>
      <c r="Q75" t="str">
        <f ca="1"/>
        <v/>
      </c>
      <c r="R75">
        <f ca="1"/>
        <v>0</v>
      </c>
      <c r="S75" t="str">
        <f ca="1"/>
        <v>Solda</v>
      </c>
      <c r="T75" t="str">
        <f ca="1"/>
        <v>SO</v>
      </c>
      <c r="U75" t="e">
        <f ca="1"/>
        <v>#NAME?</v>
      </c>
      <c r="V75" t="e">
        <f ca="1"/>
        <v>#NAME?</v>
      </c>
      <c r="W75" t="e">
        <f ca="1"/>
        <v>#NAME?</v>
      </c>
      <c r="X75" t="e">
        <f ca="1"/>
        <v>#NAME?</v>
      </c>
      <c r="Y75" t="e" cm="1">
        <f t="array" aca="1" ref="Y75" ca="1">IF(W75&lt;&gt;"", SUMPRODUCT( (input!H:H=tipos_eqs!W75)*1 ), "")</f>
        <v>#NAME?</v>
      </c>
      <c r="Z75" t="e">
        <f ca="1"/>
        <v>#NAME?</v>
      </c>
      <c r="AA75" t="e">
        <f ca="1"/>
        <v>#NAME?</v>
      </c>
      <c r="AB75" t="e">
        <f ca="1"/>
        <v>#NAME?</v>
      </c>
      <c r="AC75" t="e">
        <f t="shared" ca="1" si="6"/>
        <v>#NAME?</v>
      </c>
      <c r="AD75" t="e">
        <f t="shared" ca="1" si="4"/>
        <v>#NAME?</v>
      </c>
      <c r="AE75" t="e">
        <f t="shared" ca="1" si="5"/>
        <v>#NAME?</v>
      </c>
      <c r="AF75" t="e">
        <f ca="1"/>
        <v>#NAME?</v>
      </c>
      <c r="AG75" t="e">
        <f ca="1"/>
        <v>#NAME?</v>
      </c>
      <c r="AH75" t="e">
        <f ca="1"/>
        <v>#NAME?</v>
      </c>
      <c r="AI75" t="e">
        <f ca="1"/>
        <v>#NAME?</v>
      </c>
      <c r="AJ75" t="e">
        <f ca="1"/>
        <v>#NAME?</v>
      </c>
      <c r="AK75" t="e">
        <f ca="1"/>
        <v>#NAME?</v>
      </c>
      <c r="AL75" t="e">
        <f ca="1"/>
        <v>#NAME?</v>
      </c>
      <c r="AM75" t="e">
        <f ca="1"/>
        <v>#NAME?</v>
      </c>
      <c r="AN75" t="e">
        <f ca="1"/>
        <v>#NAME?</v>
      </c>
      <c r="AO75" t="e">
        <f ca="1"/>
        <v>#NAME?</v>
      </c>
      <c r="AP75" t="e">
        <f ca="1"/>
        <v>#NAME?</v>
      </c>
      <c r="AQ75" t="e">
        <f ca="1"/>
        <v>#NAME?</v>
      </c>
      <c r="AR75" t="e">
        <f ca="1"/>
        <v>#NAME?</v>
      </c>
      <c r="AS75" t="e">
        <f ca="1"/>
        <v>#NAME?</v>
      </c>
      <c r="AT75" t="e">
        <f ca="1"/>
        <v>#NAME?</v>
      </c>
    </row>
    <row r="76" spans="1:46" x14ac:dyDescent="0.3">
      <c r="A76" s="26">
        <f ca="1"/>
        <v>74</v>
      </c>
      <c r="B76" s="28" t="s">
        <v>2014</v>
      </c>
      <c r="C76" s="28" t="s">
        <v>2518</v>
      </c>
      <c r="D76" s="31" t="str">
        <f ca="1"/>
        <v/>
      </c>
      <c r="F76">
        <f ca="1"/>
        <v>5</v>
      </c>
      <c r="G76">
        <f ca="1"/>
        <v>2</v>
      </c>
      <c r="H76" s="28" t="str">
        <f ca="1"/>
        <v>Talha@@@@@@@@@@@@@@@@@@@@@@074</v>
      </c>
      <c r="I76" s="28" t="str">
        <f ca="1"/>
        <v>TA@074</v>
      </c>
      <c r="J76" s="28" t="e">
        <f ca="1"/>
        <v>#NAME?</v>
      </c>
      <c r="K76" s="28" t="e">
        <f ca="1"/>
        <v>#NAME?</v>
      </c>
      <c r="L76" s="28" t="e">
        <f ca="1"/>
        <v>#NAME?</v>
      </c>
      <c r="M76" s="28" t="e">
        <f ca="1"/>
        <v>#NAME?</v>
      </c>
      <c r="N76" t="e">
        <f ca="1"/>
        <v>#NAME?</v>
      </c>
      <c r="O76" t="e">
        <f ca="1"/>
        <v>#NAME?</v>
      </c>
      <c r="P76" t="str">
        <f ca="1"/>
        <v/>
      </c>
      <c r="Q76" t="str">
        <f ca="1"/>
        <v/>
      </c>
      <c r="R76">
        <f ca="1"/>
        <v>0</v>
      </c>
      <c r="S76" t="str">
        <f ca="1"/>
        <v>Talha</v>
      </c>
      <c r="T76" t="str">
        <f ca="1"/>
        <v>TA</v>
      </c>
      <c r="U76" t="e">
        <f ca="1"/>
        <v>#NAME?</v>
      </c>
      <c r="V76" t="e">
        <f ca="1"/>
        <v>#NAME?</v>
      </c>
      <c r="W76" t="e">
        <f ca="1"/>
        <v>#NAME?</v>
      </c>
      <c r="X76" t="e">
        <f ca="1"/>
        <v>#NAME?</v>
      </c>
      <c r="Y76" t="e" cm="1">
        <f t="array" aca="1" ref="Y76" ca="1">IF(W76&lt;&gt;"", SUMPRODUCT( (input!H:H=tipos_eqs!W76)*1 ), "")</f>
        <v>#NAME?</v>
      </c>
      <c r="Z76" t="e">
        <f ca="1"/>
        <v>#NAME?</v>
      </c>
      <c r="AA76" t="e">
        <f ca="1"/>
        <v>#NAME?</v>
      </c>
      <c r="AB76" t="e">
        <f ca="1"/>
        <v>#NAME?</v>
      </c>
      <c r="AC76" t="e">
        <f t="shared" ca="1" si="6"/>
        <v>#NAME?</v>
      </c>
      <c r="AD76" t="e">
        <f t="shared" ca="1" si="4"/>
        <v>#NAME?</v>
      </c>
      <c r="AE76" t="e">
        <f t="shared" ca="1" si="5"/>
        <v>#NAME?</v>
      </c>
      <c r="AF76" t="e">
        <f ca="1"/>
        <v>#NAME?</v>
      </c>
      <c r="AG76" t="e">
        <f ca="1"/>
        <v>#NAME?</v>
      </c>
      <c r="AH76" t="e">
        <f ca="1"/>
        <v>#NAME?</v>
      </c>
      <c r="AI76" t="e">
        <f ca="1"/>
        <v>#NAME?</v>
      </c>
      <c r="AJ76" t="e">
        <f ca="1"/>
        <v>#NAME?</v>
      </c>
      <c r="AK76" t="e">
        <f ca="1"/>
        <v>#NAME?</v>
      </c>
      <c r="AL76" t="e">
        <f ca="1"/>
        <v>#NAME?</v>
      </c>
      <c r="AM76" t="e">
        <f ca="1"/>
        <v>#NAME?</v>
      </c>
      <c r="AN76" t="e">
        <f ca="1"/>
        <v>#NAME?</v>
      </c>
      <c r="AO76" t="e">
        <f ca="1"/>
        <v>#NAME?</v>
      </c>
      <c r="AP76" t="e">
        <f ca="1"/>
        <v>#NAME?</v>
      </c>
      <c r="AQ76" t="e">
        <f ca="1"/>
        <v>#NAME?</v>
      </c>
      <c r="AR76" t="e">
        <f ca="1"/>
        <v>#NAME?</v>
      </c>
      <c r="AS76" t="e">
        <f ca="1"/>
        <v>#NAME?</v>
      </c>
      <c r="AT76" t="e">
        <f ca="1"/>
        <v>#NAME?</v>
      </c>
    </row>
    <row r="77" spans="1:46" x14ac:dyDescent="0.3">
      <c r="A77" s="26">
        <f ca="1"/>
        <v>75</v>
      </c>
      <c r="B77" s="28" t="s">
        <v>172</v>
      </c>
      <c r="C77" s="28" t="s">
        <v>2519</v>
      </c>
      <c r="D77" s="31" t="str">
        <f ca="1"/>
        <v/>
      </c>
      <c r="F77">
        <f ca="1"/>
        <v>14</v>
      </c>
      <c r="G77">
        <f ca="1"/>
        <v>2</v>
      </c>
      <c r="H77" s="28" t="str">
        <f ca="1"/>
        <v>Transportador @@@@@@@@@@@@@075</v>
      </c>
      <c r="I77" s="28" t="str">
        <f ca="1"/>
        <v>TP@075</v>
      </c>
      <c r="J77" s="28" t="e">
        <f ca="1"/>
        <v>#NAME?</v>
      </c>
      <c r="K77" s="28" t="e">
        <f ca="1"/>
        <v>#NAME?</v>
      </c>
      <c r="L77" s="28" t="e">
        <f ca="1"/>
        <v>#NAME?</v>
      </c>
      <c r="M77" s="28" t="e">
        <f ca="1"/>
        <v>#NAME?</v>
      </c>
      <c r="N77" t="e">
        <f ca="1"/>
        <v>#NAME?</v>
      </c>
      <c r="O77" t="e">
        <f ca="1"/>
        <v>#NAME?</v>
      </c>
      <c r="P77" t="str">
        <f ca="1"/>
        <v/>
      </c>
      <c r="Q77" t="str">
        <f ca="1"/>
        <v/>
      </c>
      <c r="R77">
        <f ca="1"/>
        <v>0</v>
      </c>
      <c r="S77" t="str">
        <f ca="1"/>
        <v xml:space="preserve">Transportador </v>
      </c>
      <c r="T77" t="str">
        <f ca="1"/>
        <v>TP</v>
      </c>
      <c r="U77" t="e">
        <f ca="1"/>
        <v>#NAME?</v>
      </c>
      <c r="V77" t="e">
        <f ca="1"/>
        <v>#NAME?</v>
      </c>
      <c r="W77" t="e">
        <f ca="1"/>
        <v>#NAME?</v>
      </c>
      <c r="X77" t="e">
        <f ca="1"/>
        <v>#NAME?</v>
      </c>
      <c r="Y77" t="e" cm="1">
        <f t="array" aca="1" ref="Y77" ca="1">IF(W77&lt;&gt;"", SUMPRODUCT( (input!H:H=tipos_eqs!W77)*1 ), "")</f>
        <v>#NAME?</v>
      </c>
      <c r="Z77" t="e">
        <f ca="1"/>
        <v>#NAME?</v>
      </c>
      <c r="AA77" t="e">
        <f ca="1"/>
        <v>#NAME?</v>
      </c>
      <c r="AB77" t="e">
        <f ca="1"/>
        <v>#NAME?</v>
      </c>
      <c r="AC77" t="e">
        <f t="shared" ca="1" si="6"/>
        <v>#NAME?</v>
      </c>
      <c r="AD77" t="e">
        <f t="shared" ca="1" si="4"/>
        <v>#NAME?</v>
      </c>
      <c r="AE77" t="e">
        <f t="shared" ca="1" si="5"/>
        <v>#NAME?</v>
      </c>
      <c r="AF77" t="e">
        <f ca="1"/>
        <v>#NAME?</v>
      </c>
      <c r="AG77" t="e">
        <f ca="1"/>
        <v>#NAME?</v>
      </c>
      <c r="AH77" t="e">
        <f ca="1"/>
        <v>#NAME?</v>
      </c>
      <c r="AI77" t="e">
        <f ca="1"/>
        <v>#NAME?</v>
      </c>
      <c r="AJ77" t="e">
        <f ca="1"/>
        <v>#NAME?</v>
      </c>
      <c r="AK77" t="e">
        <f ca="1"/>
        <v>#NAME?</v>
      </c>
      <c r="AL77" t="e">
        <f ca="1"/>
        <v>#NAME?</v>
      </c>
      <c r="AM77" t="e">
        <f ca="1"/>
        <v>#NAME?</v>
      </c>
      <c r="AN77" t="e">
        <f ca="1"/>
        <v>#NAME?</v>
      </c>
      <c r="AO77" t="e">
        <f ca="1"/>
        <v>#NAME?</v>
      </c>
      <c r="AP77" t="e">
        <f ca="1"/>
        <v>#NAME?</v>
      </c>
      <c r="AQ77" t="e">
        <f ca="1"/>
        <v>#NAME?</v>
      </c>
      <c r="AR77" t="e">
        <f ca="1"/>
        <v>#NAME?</v>
      </c>
      <c r="AS77" t="e">
        <f ca="1"/>
        <v>#NAME?</v>
      </c>
      <c r="AT77" t="e">
        <f ca="1"/>
        <v>#NAME?</v>
      </c>
    </row>
    <row r="78" spans="1:46" x14ac:dyDescent="0.3">
      <c r="A78" s="26">
        <f ca="1"/>
        <v>76</v>
      </c>
      <c r="B78" s="28" t="s">
        <v>162</v>
      </c>
      <c r="C78" s="28" t="s">
        <v>2520</v>
      </c>
      <c r="D78" s="31" t="str">
        <f ca="1"/>
        <v/>
      </c>
      <c r="F78">
        <f ca="1"/>
        <v>9</v>
      </c>
      <c r="G78">
        <f ca="1"/>
        <v>2</v>
      </c>
      <c r="H78" s="28" t="str">
        <f ca="1"/>
        <v>Ultrassom@@@@@@@@@@@@@@@@@@076</v>
      </c>
      <c r="I78" s="28" t="str">
        <f ca="1"/>
        <v>UL@076</v>
      </c>
      <c r="J78" s="28" t="e">
        <f ca="1"/>
        <v>#NAME?</v>
      </c>
      <c r="K78" s="28" t="e">
        <f ca="1"/>
        <v>#NAME?</v>
      </c>
      <c r="L78" s="28" t="e">
        <f ca="1"/>
        <v>#NAME?</v>
      </c>
      <c r="M78" s="28" t="e">
        <f ca="1"/>
        <v>#NAME?</v>
      </c>
      <c r="N78" t="e">
        <f ca="1"/>
        <v>#NAME?</v>
      </c>
      <c r="O78" t="e">
        <f ca="1"/>
        <v>#NAME?</v>
      </c>
      <c r="P78" t="str">
        <f ca="1"/>
        <v/>
      </c>
      <c r="Q78" t="str">
        <f ca="1"/>
        <v/>
      </c>
      <c r="R78">
        <f ca="1"/>
        <v>0</v>
      </c>
      <c r="S78" t="str">
        <f ca="1"/>
        <v>Ultrassom</v>
      </c>
      <c r="T78" t="str">
        <f ca="1"/>
        <v>UL</v>
      </c>
      <c r="U78" t="e">
        <f ca="1"/>
        <v>#NAME?</v>
      </c>
      <c r="V78" t="e">
        <f ca="1"/>
        <v>#NAME?</v>
      </c>
      <c r="W78" t="e">
        <f ca="1"/>
        <v>#NAME?</v>
      </c>
      <c r="X78" t="e">
        <f ca="1"/>
        <v>#NAME?</v>
      </c>
      <c r="Y78" t="e" cm="1">
        <f t="array" aca="1" ref="Y78" ca="1">IF(W78&lt;&gt;"", SUMPRODUCT( (input!H:H=tipos_eqs!W78)*1 ), "")</f>
        <v>#NAME?</v>
      </c>
      <c r="Z78" t="e">
        <f ca="1"/>
        <v>#NAME?</v>
      </c>
      <c r="AA78" t="e">
        <f ca="1"/>
        <v>#NAME?</v>
      </c>
      <c r="AB78" t="e">
        <f ca="1"/>
        <v>#NAME?</v>
      </c>
      <c r="AC78" t="e">
        <f t="shared" ca="1" si="6"/>
        <v>#NAME?</v>
      </c>
      <c r="AD78" t="e">
        <f t="shared" ca="1" si="4"/>
        <v>#NAME?</v>
      </c>
      <c r="AE78" t="e">
        <f t="shared" ca="1" si="5"/>
        <v>#NAME?</v>
      </c>
      <c r="AF78" t="e">
        <f ca="1"/>
        <v>#NAME?</v>
      </c>
      <c r="AG78" t="e">
        <f ca="1"/>
        <v>#NAME?</v>
      </c>
      <c r="AH78" t="e">
        <f ca="1"/>
        <v>#NAME?</v>
      </c>
      <c r="AI78" t="e">
        <f ca="1"/>
        <v>#NAME?</v>
      </c>
      <c r="AJ78" t="e">
        <f ca="1"/>
        <v>#NAME?</v>
      </c>
      <c r="AK78" t="e">
        <f ca="1"/>
        <v>#NAME?</v>
      </c>
      <c r="AL78" t="e">
        <f ca="1"/>
        <v>#NAME?</v>
      </c>
      <c r="AM78" t="e">
        <f ca="1"/>
        <v>#NAME?</v>
      </c>
      <c r="AN78" t="e">
        <f ca="1"/>
        <v>#NAME?</v>
      </c>
      <c r="AO78" t="e">
        <f ca="1"/>
        <v>#NAME?</v>
      </c>
      <c r="AP78" t="e">
        <f ca="1"/>
        <v>#NAME?</v>
      </c>
      <c r="AQ78" t="e">
        <f ca="1"/>
        <v>#NAME?</v>
      </c>
      <c r="AR78" t="e">
        <f ca="1"/>
        <v>#NAME?</v>
      </c>
      <c r="AS78" t="e">
        <f ca="1"/>
        <v>#NAME?</v>
      </c>
      <c r="AT78" t="e">
        <f ca="1"/>
        <v>#NAME?</v>
      </c>
    </row>
    <row r="79" spans="1:46" x14ac:dyDescent="0.3">
      <c r="A79" s="26">
        <f ca="1"/>
        <v>77</v>
      </c>
      <c r="B79" s="28" t="s">
        <v>741</v>
      </c>
      <c r="C79" s="28" t="s">
        <v>2521</v>
      </c>
      <c r="D79" s="31" t="str">
        <f ca="1"/>
        <v/>
      </c>
      <c r="F79">
        <f ca="1"/>
        <v>10</v>
      </c>
      <c r="G79">
        <f ca="1"/>
        <v>2</v>
      </c>
      <c r="H79" s="28" t="str">
        <f ca="1"/>
        <v>Ventilador@@@@@@@@@@@@@@@@@077</v>
      </c>
      <c r="I79" s="28" t="str">
        <f ca="1"/>
        <v>VE@077</v>
      </c>
      <c r="J79" s="28" t="e">
        <f ca="1"/>
        <v>#NAME?</v>
      </c>
      <c r="K79" s="28" t="e">
        <f ca="1"/>
        <v>#NAME?</v>
      </c>
      <c r="L79" s="28" t="e">
        <f ca="1"/>
        <v>#NAME?</v>
      </c>
      <c r="M79" s="28" t="e">
        <f ca="1"/>
        <v>#NAME?</v>
      </c>
      <c r="N79" t="e">
        <f ca="1"/>
        <v>#NAME?</v>
      </c>
      <c r="O79" t="e">
        <f ca="1"/>
        <v>#NAME?</v>
      </c>
      <c r="P79" t="str">
        <f ca="1"/>
        <v/>
      </c>
      <c r="Q79" t="str">
        <f ca="1"/>
        <v/>
      </c>
      <c r="R79">
        <f ca="1"/>
        <v>0</v>
      </c>
      <c r="S79" t="str">
        <f ca="1"/>
        <v>Ventilador</v>
      </c>
      <c r="T79" t="str">
        <f ca="1"/>
        <v>VE</v>
      </c>
      <c r="U79" t="e">
        <f ca="1"/>
        <v>#NAME?</v>
      </c>
      <c r="V79" t="e">
        <f ca="1"/>
        <v>#NAME?</v>
      </c>
      <c r="W79" t="e">
        <f ca="1"/>
        <v>#NAME?</v>
      </c>
      <c r="X79" t="e">
        <f ca="1"/>
        <v>#NAME?</v>
      </c>
      <c r="Y79" t="e" cm="1">
        <f t="array" aca="1" ref="Y79" ca="1">IF(W79&lt;&gt;"", SUMPRODUCT( (input!H:H=tipos_eqs!W79)*1 ), "")</f>
        <v>#NAME?</v>
      </c>
      <c r="Z79" t="e">
        <f ca="1"/>
        <v>#NAME?</v>
      </c>
      <c r="AC79" t="str">
        <f t="shared" ca="1" si="6"/>
        <v/>
      </c>
      <c r="AD79" t="e">
        <f t="shared" ca="1" si="4"/>
        <v>#NAME?</v>
      </c>
      <c r="AE79" t="e">
        <f t="shared" ca="1" si="5"/>
        <v>#NAME?</v>
      </c>
    </row>
    <row r="80" spans="1:46" x14ac:dyDescent="0.3">
      <c r="A80" s="26">
        <f ca="1"/>
        <v>78</v>
      </c>
      <c r="B80" s="28" t="s">
        <v>1713</v>
      </c>
      <c r="C80" s="28" t="s">
        <v>2522</v>
      </c>
      <c r="D80" s="31" t="str">
        <f ca="1"/>
        <v/>
      </c>
      <c r="F80">
        <f ca="1"/>
        <v>26</v>
      </c>
      <c r="G80">
        <f ca="1"/>
        <v>2</v>
      </c>
      <c r="H80" s="28" t="str">
        <f ca="1"/>
        <v>ZZ Parte de um equipamento@078</v>
      </c>
      <c r="I80" s="28" t="str">
        <f ca="1"/>
        <v>ZZ@078</v>
      </c>
      <c r="J80" s="28" t="e">
        <f ca="1"/>
        <v>#NAME?</v>
      </c>
      <c r="K80" s="28" t="e">
        <f ca="1"/>
        <v>#NAME?</v>
      </c>
      <c r="L80" s="28" t="e">
        <f ca="1"/>
        <v>#NAME?</v>
      </c>
      <c r="M80" s="28" t="e">
        <f ca="1"/>
        <v>#NAME?</v>
      </c>
      <c r="N80" t="e">
        <f ca="1"/>
        <v>#NAME?</v>
      </c>
      <c r="O80" t="e">
        <f ca="1"/>
        <v>#NAME?</v>
      </c>
      <c r="P80" t="str">
        <f ca="1"/>
        <v/>
      </c>
      <c r="Q80" t="str">
        <f ca="1"/>
        <v/>
      </c>
      <c r="R80">
        <f ca="1"/>
        <v>0</v>
      </c>
      <c r="S80" t="str">
        <f ca="1"/>
        <v>ZZ Parte de um equipamento</v>
      </c>
      <c r="T80" t="str">
        <f ca="1"/>
        <v>ZZ</v>
      </c>
      <c r="U80" t="e">
        <f ca="1"/>
        <v>#NAME?</v>
      </c>
      <c r="V80" t="e">
        <f ca="1"/>
        <v>#NAME?</v>
      </c>
      <c r="W80" t="e">
        <f ca="1"/>
        <v>#NAME?</v>
      </c>
      <c r="X80" t="e">
        <f ca="1"/>
        <v>#NAME?</v>
      </c>
      <c r="Y80" t="e" cm="1">
        <f t="array" aca="1" ref="Y80" ca="1">IF(W80&lt;&gt;"", SUMPRODUCT( (input!H:H=tipos_eqs!W80)*1 ), "")</f>
        <v>#NAME?</v>
      </c>
      <c r="Z80" t="e">
        <f ca="1"/>
        <v>#NAME?</v>
      </c>
      <c r="AC80" t="str">
        <f t="shared" ca="1" si="6"/>
        <v/>
      </c>
      <c r="AD80" t="e">
        <f t="shared" ca="1" si="4"/>
        <v>#NAME?</v>
      </c>
      <c r="AE80" t="e">
        <f t="shared" ca="1" si="5"/>
        <v>#NAME?</v>
      </c>
    </row>
    <row r="81" spans="1:31" x14ac:dyDescent="0.3">
      <c r="A81" s="26">
        <f ca="1"/>
        <v>79</v>
      </c>
      <c r="B81" s="29" t="s">
        <v>2465</v>
      </c>
      <c r="C81" s="29" t="s">
        <v>2523</v>
      </c>
      <c r="D81" s="31" t="str">
        <f ca="1"/>
        <v/>
      </c>
      <c r="F81">
        <f ca="1"/>
        <v>6</v>
      </c>
      <c r="G81">
        <f ca="1"/>
        <v>2</v>
      </c>
      <c r="H81" s="28" t="str">
        <f ca="1"/>
        <v>teste3@@@@@@@@@@@@@@@@@@@@@079</v>
      </c>
      <c r="I81" s="28" t="str">
        <f ca="1"/>
        <v>ZV@079</v>
      </c>
      <c r="J81" s="28" t="e">
        <f ca="1"/>
        <v>#NAME?</v>
      </c>
      <c r="K81" s="28" t="e">
        <f ca="1"/>
        <v>#NAME?</v>
      </c>
      <c r="L81" s="28" t="e">
        <f ca="1"/>
        <v>#NAME?</v>
      </c>
      <c r="M81" s="28" t="e">
        <f ca="1"/>
        <v>#NAME?</v>
      </c>
      <c r="N81" t="e">
        <f ca="1"/>
        <v>#NAME?</v>
      </c>
      <c r="O81" t="e">
        <f ca="1"/>
        <v>#NAME?</v>
      </c>
      <c r="P81" t="str">
        <f ca="1"/>
        <v/>
      </c>
      <c r="Q81" t="str">
        <f ca="1"/>
        <v/>
      </c>
      <c r="R81">
        <f ca="1"/>
        <v>0</v>
      </c>
      <c r="S81" t="str">
        <f ca="1"/>
        <v>teste3</v>
      </c>
      <c r="T81" t="str">
        <f ca="1"/>
        <v>ZV</v>
      </c>
      <c r="U81" t="e">
        <f ca="1"/>
        <v>#NAME?</v>
      </c>
      <c r="V81" t="e">
        <f ca="1"/>
        <v>#NAME?</v>
      </c>
      <c r="W81" t="e">
        <f ca="1"/>
        <v>#NAME?</v>
      </c>
      <c r="X81" t="e">
        <f ca="1"/>
        <v>#NAME?</v>
      </c>
      <c r="Y81" t="e" cm="1">
        <f t="array" aca="1" ref="Y81" ca="1">IF(W81&lt;&gt;"", SUMPRODUCT( (input!H:H=tipos_eqs!W81)*1 ), "")</f>
        <v>#NAME?</v>
      </c>
      <c r="Z81" t="e">
        <f ca="1"/>
        <v>#NAME?</v>
      </c>
      <c r="AC81" t="str">
        <f t="shared" ca="1" si="6"/>
        <v/>
      </c>
      <c r="AD81" t="e">
        <f t="shared" ca="1" si="4"/>
        <v>#NAME?</v>
      </c>
      <c r="AE81" t="e">
        <f t="shared" ca="1" si="5"/>
        <v>#NAME?</v>
      </c>
    </row>
    <row r="82" spans="1:31" x14ac:dyDescent="0.3">
      <c r="A82" s="26">
        <f ca="1"/>
        <v>80</v>
      </c>
      <c r="B82" s="29" t="s">
        <v>2524</v>
      </c>
      <c r="C82" s="29" t="s">
        <v>2466</v>
      </c>
      <c r="D82" s="31" t="str">
        <f ca="1"/>
        <v/>
      </c>
      <c r="F82">
        <f ca="1"/>
        <v>6</v>
      </c>
      <c r="G82">
        <f ca="1"/>
        <v>2</v>
      </c>
      <c r="H82" s="28" t="str">
        <f ca="1"/>
        <v>teste4@@@@@@@@@@@@@@@@@@@@@080</v>
      </c>
      <c r="I82" s="28" t="str">
        <f ca="1"/>
        <v>ZX@080</v>
      </c>
      <c r="J82" s="28" t="e">
        <f ca="1"/>
        <v>#NAME?</v>
      </c>
      <c r="K82" s="28" t="e">
        <f ca="1"/>
        <v>#NAME?</v>
      </c>
      <c r="L82" s="28" t="e">
        <f ca="1"/>
        <v>#NAME?</v>
      </c>
      <c r="M82" s="28" t="e">
        <f ca="1"/>
        <v>#NAME?</v>
      </c>
      <c r="N82" t="e">
        <f ca="1"/>
        <v>#NAME?</v>
      </c>
      <c r="O82" t="e">
        <f ca="1"/>
        <v>#NAME?</v>
      </c>
      <c r="P82" t="str">
        <f ca="1"/>
        <v/>
      </c>
      <c r="Q82" t="str">
        <f ca="1"/>
        <v/>
      </c>
      <c r="R82">
        <f ca="1"/>
        <v>0</v>
      </c>
      <c r="S82" t="str">
        <f ca="1"/>
        <v>teste4</v>
      </c>
      <c r="T82" t="str">
        <f ca="1"/>
        <v>ZX</v>
      </c>
      <c r="U82" t="e">
        <f ca="1"/>
        <v>#NAME?</v>
      </c>
      <c r="V82" t="e">
        <f ca="1"/>
        <v>#NAME?</v>
      </c>
      <c r="W82" t="e">
        <f ca="1"/>
        <v>#NAME?</v>
      </c>
      <c r="X82" t="e">
        <f ca="1"/>
        <v>#NAME?</v>
      </c>
      <c r="Y82" t="e" cm="1">
        <f t="array" aca="1" ref="Y82" ca="1">IF(W82&lt;&gt;"", SUMPRODUCT( (input!H:H=tipos_eqs!W82)*1 ), "")</f>
        <v>#NAME?</v>
      </c>
      <c r="Z82" t="e">
        <f ca="1"/>
        <v>#NAME?</v>
      </c>
      <c r="AC82" t="str">
        <f t="shared" ca="1" si="6"/>
        <v/>
      </c>
      <c r="AD82" t="e">
        <f t="shared" ca="1" si="4"/>
        <v>#NAME?</v>
      </c>
      <c r="AE82" t="e">
        <f t="shared" ca="1" si="5"/>
        <v>#NAME?</v>
      </c>
    </row>
    <row r="83" spans="1:31" x14ac:dyDescent="0.3">
      <c r="A83" s="26">
        <f ca="1"/>
        <v>81</v>
      </c>
      <c r="B83" s="28" t="s">
        <v>1642</v>
      </c>
      <c r="C83" s="28" t="s">
        <v>2525</v>
      </c>
      <c r="D83" s="31" t="str">
        <f ca="1"/>
        <v/>
      </c>
      <c r="F83">
        <f ca="1"/>
        <v>8</v>
      </c>
      <c r="G83">
        <f ca="1"/>
        <v>2</v>
      </c>
      <c r="H83" s="28" t="str">
        <f ca="1"/>
        <v>politriz@@@@@@@@@@@@@@@@@@@081</v>
      </c>
      <c r="I83" s="28" t="str">
        <f ca="1"/>
        <v>PO@081</v>
      </c>
      <c r="J83" s="28" t="e">
        <f ca="1"/>
        <v>#NAME?</v>
      </c>
      <c r="K83" s="28" t="e">
        <f ca="1"/>
        <v>#NAME?</v>
      </c>
      <c r="L83" s="28" t="e">
        <f ca="1"/>
        <v>#NAME?</v>
      </c>
      <c r="M83" s="28" t="e">
        <f ca="1"/>
        <v>#NAME?</v>
      </c>
      <c r="N83" t="e">
        <f ca="1"/>
        <v>#NAME?</v>
      </c>
      <c r="O83" t="e">
        <f ca="1"/>
        <v>#NAME?</v>
      </c>
      <c r="P83" t="str">
        <f ca="1"/>
        <v/>
      </c>
      <c r="Q83" t="str">
        <f ca="1"/>
        <v/>
      </c>
      <c r="R83">
        <f ca="1"/>
        <v>0</v>
      </c>
      <c r="S83" t="str">
        <f ca="1"/>
        <v>politriz</v>
      </c>
      <c r="T83" t="str">
        <f ca="1"/>
        <v>PO</v>
      </c>
      <c r="U83" t="e">
        <f ca="1"/>
        <v>#NAME?</v>
      </c>
      <c r="V83" t="e">
        <f ca="1"/>
        <v>#NAME?</v>
      </c>
      <c r="W83" t="e">
        <f ca="1"/>
        <v>#NAME?</v>
      </c>
      <c r="X83" t="e">
        <f ca="1"/>
        <v>#NAME?</v>
      </c>
      <c r="Y83" t="e" cm="1">
        <f t="array" aca="1" ref="Y83" ca="1">IF(W83&lt;&gt;"", SUMPRODUCT( (input!H:H=tipos_eqs!W83)*1 ), "")</f>
        <v>#NAME?</v>
      </c>
      <c r="Z83" t="e">
        <f ca="1"/>
        <v>#NAME?</v>
      </c>
      <c r="AC83" t="str">
        <f t="shared" ca="1" si="6"/>
        <v/>
      </c>
      <c r="AD83" t="e">
        <f t="shared" ca="1" si="4"/>
        <v>#NAME?</v>
      </c>
      <c r="AE83" t="e">
        <f t="shared" ca="1" si="5"/>
        <v>#NAME?</v>
      </c>
    </row>
    <row r="84" spans="1:31" x14ac:dyDescent="0.3">
      <c r="A84" s="26">
        <f ca="1"/>
        <v>82</v>
      </c>
      <c r="B84" s="28" t="s">
        <v>1726</v>
      </c>
      <c r="C84" s="28" t="s">
        <v>2526</v>
      </c>
      <c r="D84" s="31" t="str">
        <f ca="1"/>
        <v/>
      </c>
      <c r="F84">
        <f ca="1"/>
        <v>10</v>
      </c>
      <c r="G84">
        <f ca="1"/>
        <v>2</v>
      </c>
      <c r="H84" s="28" t="str">
        <f ca="1"/>
        <v>computador@@@@@@@@@@@@@@@@@082</v>
      </c>
      <c r="I84" s="28" t="str">
        <f ca="1"/>
        <v>CO@082</v>
      </c>
      <c r="J84" s="28" t="e">
        <f ca="1"/>
        <v>#NAME?</v>
      </c>
      <c r="K84" s="28" t="e">
        <f ca="1"/>
        <v>#NAME?</v>
      </c>
      <c r="L84" s="28" t="e">
        <f ca="1"/>
        <v>#NAME?</v>
      </c>
      <c r="M84" s="28" t="e">
        <f ca="1"/>
        <v>#NAME?</v>
      </c>
      <c r="N84" t="e">
        <f ca="1"/>
        <v>#NAME?</v>
      </c>
      <c r="O84" t="e">
        <f ca="1"/>
        <v>#NAME?</v>
      </c>
      <c r="P84" t="str">
        <f ca="1"/>
        <v/>
      </c>
      <c r="Q84" t="str">
        <f ca="1"/>
        <v/>
      </c>
      <c r="R84">
        <f ca="1"/>
        <v>0</v>
      </c>
      <c r="S84" t="str">
        <f ca="1"/>
        <v>computador</v>
      </c>
      <c r="T84" t="str">
        <f ca="1"/>
        <v>CO</v>
      </c>
      <c r="U84" t="e">
        <f ca="1"/>
        <v>#NAME?</v>
      </c>
      <c r="V84" t="e">
        <f ca="1"/>
        <v>#NAME?</v>
      </c>
      <c r="W84" t="e">
        <f ca="1"/>
        <v>#NAME?</v>
      </c>
      <c r="X84" t="e">
        <f ca="1"/>
        <v>#NAME?</v>
      </c>
      <c r="Y84" t="e" cm="1">
        <f t="array" aca="1" ref="Y84" ca="1">IF(W84&lt;&gt;"", SUMPRODUCT( (input!H:H=tipos_eqs!W84)*1 ), "")</f>
        <v>#NAME?</v>
      </c>
      <c r="Z84" t="e">
        <f ca="1"/>
        <v>#NAME?</v>
      </c>
      <c r="AC84" t="str">
        <f t="shared" ca="1" si="6"/>
        <v/>
      </c>
      <c r="AD84" t="e">
        <f t="shared" ca="1" si="4"/>
        <v>#NAME?</v>
      </c>
      <c r="AE84" t="e">
        <f t="shared" ca="1" si="5"/>
        <v>#NAME?</v>
      </c>
    </row>
    <row r="85" spans="1:31" x14ac:dyDescent="0.3">
      <c r="A85" s="26">
        <f ca="1"/>
        <v>83</v>
      </c>
      <c r="B85" s="28" t="s">
        <v>1581</v>
      </c>
      <c r="C85" s="28" t="s">
        <v>2527</v>
      </c>
      <c r="D85" s="31" t="str">
        <f ca="1"/>
        <v/>
      </c>
      <c r="F85">
        <f ca="1"/>
        <v>5</v>
      </c>
      <c r="G85">
        <f ca="1"/>
        <v>2</v>
      </c>
      <c r="H85" s="28" t="str">
        <f ca="1"/>
        <v>mufla@@@@@@@@@@@@@@@@@@@@@@083</v>
      </c>
      <c r="I85" s="28" t="str">
        <f ca="1"/>
        <v>MF@083</v>
      </c>
      <c r="J85" s="28" t="e">
        <f ca="1"/>
        <v>#NAME?</v>
      </c>
      <c r="K85" s="28" t="e">
        <f ca="1"/>
        <v>#NAME?</v>
      </c>
      <c r="L85" s="28" t="e">
        <f ca="1"/>
        <v>#NAME?</v>
      </c>
      <c r="M85" s="28" t="e">
        <f ca="1"/>
        <v>#NAME?</v>
      </c>
      <c r="N85" t="e">
        <f ca="1"/>
        <v>#NAME?</v>
      </c>
      <c r="O85" t="e">
        <f ca="1"/>
        <v>#NAME?</v>
      </c>
      <c r="P85" t="str">
        <f ca="1"/>
        <v/>
      </c>
      <c r="Q85" t="str">
        <f ca="1"/>
        <v/>
      </c>
      <c r="R85">
        <f ca="1"/>
        <v>0</v>
      </c>
      <c r="S85" t="str">
        <f ca="1"/>
        <v>mufla</v>
      </c>
      <c r="T85" t="str">
        <f ca="1"/>
        <v>MF</v>
      </c>
      <c r="U85" t="e">
        <f ca="1"/>
        <v>#NAME?</v>
      </c>
      <c r="V85" t="e">
        <f ca="1"/>
        <v>#NAME?</v>
      </c>
      <c r="W85" t="e">
        <f ca="1"/>
        <v>#NAME?</v>
      </c>
      <c r="X85" t="e">
        <f ca="1"/>
        <v>#NAME?</v>
      </c>
      <c r="Y85" t="e" cm="1">
        <f t="array" aca="1" ref="Y85" ca="1">IF(W85&lt;&gt;"", SUMPRODUCT( (input!H:H=tipos_eqs!W85)*1 ), "")</f>
        <v>#NAME?</v>
      </c>
      <c r="Z85" t="e">
        <f ca="1"/>
        <v>#NAME?</v>
      </c>
      <c r="AC85" t="str">
        <f t="shared" ca="1" si="6"/>
        <v/>
      </c>
      <c r="AD85" t="e">
        <f t="shared" ca="1" si="4"/>
        <v>#NAME?</v>
      </c>
      <c r="AE85" t="e">
        <f t="shared" ca="1" si="5"/>
        <v>#NAME?</v>
      </c>
    </row>
    <row r="86" spans="1:31" x14ac:dyDescent="0.3">
      <c r="A86" s="26">
        <f ca="1"/>
        <v>84</v>
      </c>
      <c r="B86" s="28"/>
      <c r="C86" s="28"/>
      <c r="D86" s="31" t="str">
        <f ca="1"/>
        <v>1100</v>
      </c>
      <c r="F86">
        <f ca="1"/>
        <v>0</v>
      </c>
      <c r="G86">
        <f ca="1"/>
        <v>0</v>
      </c>
      <c r="H86" s="28" t="str">
        <f ca="1"/>
        <v>ZZZZZ@@@@@@@@@@@@@@@@@@@@@@@@@@@084</v>
      </c>
      <c r="I86" s="28" t="str">
        <f ca="1"/>
        <v>ZZZZZ@@@084</v>
      </c>
      <c r="J86" s="28" t="e">
        <f ca="1"/>
        <v>#NAME?</v>
      </c>
      <c r="K86" s="28" t="e">
        <f ca="1"/>
        <v>#NAME?</v>
      </c>
      <c r="L86" s="28" t="e">
        <f ca="1"/>
        <v>#NAME?</v>
      </c>
      <c r="M86" s="28" t="e">
        <f ca="1"/>
        <v>#NAME?</v>
      </c>
      <c r="N86" t="e">
        <f ca="1"/>
        <v>#NAME?</v>
      </c>
      <c r="O86" t="e">
        <f ca="1"/>
        <v>#NAME?</v>
      </c>
      <c r="P86" t="str">
        <f ca="1"/>
        <v/>
      </c>
      <c r="Q86" t="str">
        <f ca="1"/>
        <v/>
      </c>
      <c r="R86">
        <f ca="1"/>
        <v>12</v>
      </c>
      <c r="S86" t="str">
        <f ca="1"/>
        <v>ZZZZZ</v>
      </c>
      <c r="T86" t="str">
        <f ca="1"/>
        <v>ZZZZZ</v>
      </c>
      <c r="U86" t="e">
        <f ca="1"/>
        <v>#NAME?</v>
      </c>
      <c r="V86" t="e">
        <f ca="1"/>
        <v>#NAME?</v>
      </c>
      <c r="W86" t="e">
        <f ca="1"/>
        <v>#NAME?</v>
      </c>
      <c r="X86" t="e">
        <f ca="1"/>
        <v>#NAME?</v>
      </c>
      <c r="Y86" t="e" cm="1">
        <f t="array" aca="1" ref="Y86" ca="1">IF(W86&lt;&gt;"", SUMPRODUCT( (input!H:H=tipos_eqs!W86)*1 ), "")</f>
        <v>#NAME?</v>
      </c>
      <c r="Z86" t="e">
        <f ca="1"/>
        <v>#NAME?</v>
      </c>
      <c r="AC86" t="str">
        <f t="shared" ca="1" si="6"/>
        <v/>
      </c>
      <c r="AD86" t="e">
        <f t="shared" ca="1" si="4"/>
        <v>#NAME?</v>
      </c>
      <c r="AE86" t="e">
        <f t="shared" ca="1" si="5"/>
        <v>#NAME?</v>
      </c>
    </row>
    <row r="87" spans="1:31" x14ac:dyDescent="0.3">
      <c r="A87" s="26">
        <f ca="1"/>
        <v>85</v>
      </c>
      <c r="B87" s="28"/>
      <c r="C87" s="28"/>
      <c r="D87" s="31" t="str">
        <f ca="1"/>
        <v>1100</v>
      </c>
      <c r="F87">
        <f ca="1"/>
        <v>0</v>
      </c>
      <c r="G87">
        <f ca="1"/>
        <v>0</v>
      </c>
      <c r="H87" s="28" t="str">
        <f ca="1"/>
        <v>ZZZZZ@@@@@@@@@@@@@@@@@@@@@@@@@@@085</v>
      </c>
      <c r="I87" s="28" t="str">
        <f ca="1"/>
        <v>ZZZZZ@@@085</v>
      </c>
      <c r="J87" s="28" t="e">
        <f ca="1"/>
        <v>#NAME?</v>
      </c>
      <c r="K87" s="28" t="e">
        <f ca="1"/>
        <v>#NAME?</v>
      </c>
      <c r="L87" s="28" t="e">
        <f ca="1"/>
        <v>#NAME?</v>
      </c>
      <c r="M87" s="28" t="e">
        <f ca="1"/>
        <v>#NAME?</v>
      </c>
      <c r="N87" t="e">
        <f ca="1"/>
        <v>#NAME?</v>
      </c>
      <c r="O87" t="e">
        <f ca="1"/>
        <v>#NAME?</v>
      </c>
      <c r="P87" t="str">
        <f ca="1"/>
        <v/>
      </c>
      <c r="Q87" t="str">
        <f ca="1"/>
        <v/>
      </c>
      <c r="R87">
        <f ca="1"/>
        <v>12</v>
      </c>
      <c r="S87" t="str">
        <f ca="1"/>
        <v>ZZZZZ</v>
      </c>
      <c r="T87" t="str">
        <f ca="1"/>
        <v>ZZZZZ</v>
      </c>
      <c r="U87" t="e">
        <f ca="1"/>
        <v>#NAME?</v>
      </c>
      <c r="V87" t="e">
        <f ca="1"/>
        <v>#NAME?</v>
      </c>
      <c r="W87" t="e">
        <f ca="1"/>
        <v>#NAME?</v>
      </c>
      <c r="X87" t="e">
        <f ca="1"/>
        <v>#NAME?</v>
      </c>
      <c r="Y87" t="e" cm="1">
        <f t="array" aca="1" ref="Y87" ca="1">IF(W87&lt;&gt;"", SUMPRODUCT( (input!H:H=tipos_eqs!W87)*1 ), "")</f>
        <v>#NAME?</v>
      </c>
      <c r="Z87" t="e">
        <f ca="1"/>
        <v>#NAME?</v>
      </c>
      <c r="AC87" t="str">
        <f t="shared" ca="1" si="6"/>
        <v/>
      </c>
      <c r="AD87" t="e">
        <f t="shared" ca="1" si="4"/>
        <v>#NAME?</v>
      </c>
      <c r="AE87" t="e">
        <f t="shared" ca="1" si="5"/>
        <v>#NAME?</v>
      </c>
    </row>
    <row r="88" spans="1:31" x14ac:dyDescent="0.3">
      <c r="A88" s="26">
        <f ca="1"/>
        <v>86</v>
      </c>
      <c r="B88" s="28"/>
      <c r="C88" s="28"/>
      <c r="D88" s="31" t="str">
        <f ca="1"/>
        <v>1100</v>
      </c>
      <c r="F88">
        <f ca="1"/>
        <v>0</v>
      </c>
      <c r="G88">
        <f ca="1"/>
        <v>0</v>
      </c>
      <c r="H88" s="28" t="str">
        <f ca="1"/>
        <v>ZZZZZ@@@@@@@@@@@@@@@@@@@@@@@@@@@086</v>
      </c>
      <c r="I88" s="28" t="str">
        <f ca="1"/>
        <v>ZZZZZ@@@086</v>
      </c>
      <c r="J88" s="28" t="e">
        <f ca="1"/>
        <v>#NAME?</v>
      </c>
      <c r="K88" s="28" t="e">
        <f ca="1"/>
        <v>#NAME?</v>
      </c>
      <c r="L88" s="28" t="e">
        <f ca="1"/>
        <v>#NAME?</v>
      </c>
      <c r="M88" s="28" t="e">
        <f ca="1"/>
        <v>#NAME?</v>
      </c>
      <c r="N88" t="e">
        <f ca="1"/>
        <v>#NAME?</v>
      </c>
      <c r="O88" t="e">
        <f ca="1"/>
        <v>#NAME?</v>
      </c>
      <c r="P88" t="str">
        <f ca="1"/>
        <v/>
      </c>
      <c r="Q88" t="str">
        <f ca="1"/>
        <v/>
      </c>
      <c r="R88">
        <f ca="1"/>
        <v>12</v>
      </c>
      <c r="S88" t="str">
        <f ca="1"/>
        <v>ZZZZZ</v>
      </c>
      <c r="T88" t="str">
        <f ca="1"/>
        <v>ZZZZZ</v>
      </c>
      <c r="U88" t="e">
        <f ca="1"/>
        <v>#NAME?</v>
      </c>
      <c r="V88" t="e">
        <f ca="1"/>
        <v>#NAME?</v>
      </c>
      <c r="W88" t="e">
        <f ca="1"/>
        <v>#NAME?</v>
      </c>
      <c r="X88" t="e">
        <f ca="1"/>
        <v>#NAME?</v>
      </c>
      <c r="Y88" t="e" cm="1">
        <f t="array" aca="1" ref="Y88" ca="1">IF(W88&lt;&gt;"", SUMPRODUCT( (input!H:H=tipos_eqs!W88)*1 ), "")</f>
        <v>#NAME?</v>
      </c>
      <c r="Z88" t="e">
        <f ca="1"/>
        <v>#NAME?</v>
      </c>
      <c r="AC88" t="str">
        <f t="shared" ca="1" si="6"/>
        <v/>
      </c>
      <c r="AD88" t="e">
        <f t="shared" ca="1" si="4"/>
        <v>#NAME?</v>
      </c>
      <c r="AE88" t="e">
        <f t="shared" ca="1" si="5"/>
        <v>#NAME?</v>
      </c>
    </row>
    <row r="89" spans="1:31" x14ac:dyDescent="0.3">
      <c r="A89" s="26">
        <f ca="1"/>
        <v>87</v>
      </c>
      <c r="B89" s="28"/>
      <c r="C89" s="28"/>
      <c r="D89" s="31" t="str">
        <f ca="1"/>
        <v>1100</v>
      </c>
      <c r="F89">
        <f ca="1"/>
        <v>0</v>
      </c>
      <c r="G89">
        <f ca="1"/>
        <v>0</v>
      </c>
      <c r="H89" s="28" t="str">
        <f ca="1"/>
        <v>ZZZZZ@@@@@@@@@@@@@@@@@@@@@@@@@@@087</v>
      </c>
      <c r="I89" s="28" t="str">
        <f ca="1"/>
        <v>ZZZZZ@@@087</v>
      </c>
      <c r="J89" s="28" t="e">
        <f ca="1"/>
        <v>#NAME?</v>
      </c>
      <c r="K89" s="28" t="e">
        <f ca="1"/>
        <v>#NAME?</v>
      </c>
      <c r="L89" s="28" t="e">
        <f ca="1"/>
        <v>#NAME?</v>
      </c>
      <c r="M89" s="28" t="e">
        <f ca="1"/>
        <v>#NAME?</v>
      </c>
      <c r="N89" t="e">
        <f ca="1"/>
        <v>#NAME?</v>
      </c>
      <c r="O89" t="e">
        <f ca="1"/>
        <v>#NAME?</v>
      </c>
      <c r="P89" t="str">
        <f ca="1"/>
        <v/>
      </c>
      <c r="Q89" t="str">
        <f ca="1"/>
        <v/>
      </c>
      <c r="R89">
        <f ca="1"/>
        <v>12</v>
      </c>
      <c r="S89" t="str">
        <f ca="1"/>
        <v>ZZZZZ</v>
      </c>
      <c r="T89" t="str">
        <f ca="1"/>
        <v>ZZZZZ</v>
      </c>
      <c r="U89" t="e">
        <f ca="1"/>
        <v>#NAME?</v>
      </c>
      <c r="V89" t="e">
        <f ca="1"/>
        <v>#NAME?</v>
      </c>
      <c r="W89" t="e">
        <f ca="1"/>
        <v>#NAME?</v>
      </c>
      <c r="X89" t="e">
        <f ca="1"/>
        <v>#NAME?</v>
      </c>
      <c r="Y89" t="e" cm="1">
        <f t="array" aca="1" ref="Y89" ca="1">IF(W89&lt;&gt;"", SUMPRODUCT( (input!H:H=tipos_eqs!W89)*1 ), "")</f>
        <v>#NAME?</v>
      </c>
      <c r="Z89" t="e">
        <f ca="1"/>
        <v>#NAME?</v>
      </c>
      <c r="AC89" t="str">
        <f t="shared" ca="1" si="6"/>
        <v/>
      </c>
      <c r="AD89" t="e">
        <f t="shared" ca="1" si="4"/>
        <v>#NAME?</v>
      </c>
      <c r="AE89" t="e">
        <f t="shared" ca="1" si="5"/>
        <v>#NAME?</v>
      </c>
    </row>
    <row r="90" spans="1:31" x14ac:dyDescent="0.3">
      <c r="A90" s="26">
        <f ca="1"/>
        <v>88</v>
      </c>
      <c r="B90" s="28"/>
      <c r="C90" s="28"/>
      <c r="D90" s="31" t="str">
        <f ca="1"/>
        <v>1100</v>
      </c>
      <c r="F90">
        <f ca="1"/>
        <v>0</v>
      </c>
      <c r="G90">
        <f ca="1"/>
        <v>0</v>
      </c>
      <c r="H90" s="28" t="str">
        <f ca="1"/>
        <v>ZZZZZ@@@@@@@@@@@@@@@@@@@@@@@@@@@088</v>
      </c>
      <c r="I90" s="28" t="str">
        <f ca="1"/>
        <v>ZZZZZ@@@088</v>
      </c>
      <c r="J90" s="28" t="e">
        <f ca="1"/>
        <v>#NAME?</v>
      </c>
      <c r="K90" s="28" t="e">
        <f ca="1"/>
        <v>#NAME?</v>
      </c>
      <c r="L90" s="28" t="e">
        <f ca="1"/>
        <v>#NAME?</v>
      </c>
      <c r="M90" s="28" t="e">
        <f ca="1"/>
        <v>#NAME?</v>
      </c>
      <c r="N90" t="e">
        <f ca="1"/>
        <v>#NAME?</v>
      </c>
      <c r="O90" t="e">
        <f ca="1"/>
        <v>#NAME?</v>
      </c>
      <c r="P90" t="str">
        <f ca="1"/>
        <v/>
      </c>
      <c r="Q90" t="str">
        <f ca="1"/>
        <v/>
      </c>
      <c r="R90">
        <f ca="1"/>
        <v>12</v>
      </c>
      <c r="S90" t="str">
        <f ca="1"/>
        <v>ZZZZZ</v>
      </c>
      <c r="T90" t="str">
        <f ca="1"/>
        <v>ZZZZZ</v>
      </c>
      <c r="U90" t="e">
        <f ca="1"/>
        <v>#NAME?</v>
      </c>
      <c r="V90" t="e">
        <f ca="1"/>
        <v>#NAME?</v>
      </c>
      <c r="W90" t="e">
        <f ca="1"/>
        <v>#NAME?</v>
      </c>
      <c r="X90" t="e">
        <f ca="1"/>
        <v>#NAME?</v>
      </c>
      <c r="Y90" t="e" cm="1">
        <f t="array" aca="1" ref="Y90" ca="1">IF(W90&lt;&gt;"", SUMPRODUCT( (input!H:H=tipos_eqs!W90)*1 ), "")</f>
        <v>#NAME?</v>
      </c>
      <c r="Z90" t="e">
        <f ca="1"/>
        <v>#NAME?</v>
      </c>
      <c r="AC90" t="str">
        <f t="shared" ca="1" si="6"/>
        <v/>
      </c>
      <c r="AD90" t="e">
        <f t="shared" ca="1" si="4"/>
        <v>#NAME?</v>
      </c>
      <c r="AE90" t="e">
        <f t="shared" ca="1" si="5"/>
        <v>#NAME?</v>
      </c>
    </row>
    <row r="91" spans="1:31" x14ac:dyDescent="0.3">
      <c r="A91" s="26">
        <f ca="1"/>
        <v>89</v>
      </c>
      <c r="B91" s="28"/>
      <c r="C91" s="28"/>
      <c r="D91" s="31" t="str">
        <f ca="1"/>
        <v>1100</v>
      </c>
      <c r="F91">
        <f ca="1"/>
        <v>0</v>
      </c>
      <c r="G91">
        <f ca="1"/>
        <v>0</v>
      </c>
      <c r="H91" s="28" t="str">
        <f ca="1"/>
        <v>ZZZZZ@@@@@@@@@@@@@@@@@@@@@@@@@@@089</v>
      </c>
      <c r="I91" s="28" t="str">
        <f ca="1"/>
        <v>ZZZZZ@@@089</v>
      </c>
      <c r="J91" s="28" t="e">
        <f ca="1"/>
        <v>#NAME?</v>
      </c>
      <c r="K91" s="28" t="e">
        <f ca="1"/>
        <v>#NAME?</v>
      </c>
      <c r="L91" s="28" t="e">
        <f ca="1"/>
        <v>#NAME?</v>
      </c>
      <c r="M91" s="28" t="e">
        <f ca="1"/>
        <v>#NAME?</v>
      </c>
      <c r="N91" t="e">
        <f ca="1"/>
        <v>#NAME?</v>
      </c>
      <c r="O91" t="e">
        <f ca="1"/>
        <v>#NAME?</v>
      </c>
      <c r="P91" t="str">
        <f ca="1"/>
        <v/>
      </c>
      <c r="Q91" t="str">
        <f ca="1"/>
        <v/>
      </c>
      <c r="R91">
        <f ca="1"/>
        <v>12</v>
      </c>
      <c r="S91" t="str">
        <f ca="1"/>
        <v>ZZZZZ</v>
      </c>
      <c r="T91" t="str">
        <f ca="1"/>
        <v>ZZZZZ</v>
      </c>
      <c r="U91" t="e">
        <f ca="1"/>
        <v>#NAME?</v>
      </c>
      <c r="V91" t="e">
        <f ca="1"/>
        <v>#NAME?</v>
      </c>
      <c r="W91" t="e">
        <f ca="1"/>
        <v>#NAME?</v>
      </c>
      <c r="X91" t="e">
        <f ca="1"/>
        <v>#NAME?</v>
      </c>
      <c r="Y91" t="e" cm="1">
        <f t="array" aca="1" ref="Y91" ca="1">IF(W91&lt;&gt;"", SUMPRODUCT( (input!H:H=tipos_eqs!W91)*1 ), "")</f>
        <v>#NAME?</v>
      </c>
      <c r="Z91" t="e">
        <f ca="1"/>
        <v>#NAME?</v>
      </c>
      <c r="AC91" t="str">
        <f t="shared" ca="1" si="6"/>
        <v/>
      </c>
      <c r="AD91" t="e">
        <f t="shared" ca="1" si="4"/>
        <v>#NAME?</v>
      </c>
      <c r="AE91" t="e">
        <f t="shared" ca="1" si="5"/>
        <v>#NAME?</v>
      </c>
    </row>
    <row r="92" spans="1:31" x14ac:dyDescent="0.3">
      <c r="A92" s="26">
        <f ca="1"/>
        <v>90</v>
      </c>
      <c r="B92" s="28"/>
      <c r="C92" s="28"/>
      <c r="D92" s="31" t="str">
        <f ca="1"/>
        <v>1100</v>
      </c>
      <c r="F92">
        <f ca="1"/>
        <v>0</v>
      </c>
      <c r="G92">
        <f ca="1"/>
        <v>0</v>
      </c>
      <c r="H92" s="28" t="str">
        <f ca="1"/>
        <v>ZZZZZ@@@@@@@@@@@@@@@@@@@@@@@@@@@090</v>
      </c>
      <c r="I92" s="28" t="str">
        <f ca="1"/>
        <v>ZZZZZ@@@090</v>
      </c>
      <c r="J92" s="28" t="e">
        <f ca="1"/>
        <v>#NAME?</v>
      </c>
      <c r="K92" s="28" t="e">
        <f ca="1"/>
        <v>#NAME?</v>
      </c>
      <c r="L92" s="28" t="e">
        <f ca="1"/>
        <v>#NAME?</v>
      </c>
      <c r="M92" s="28" t="e">
        <f ca="1"/>
        <v>#NAME?</v>
      </c>
      <c r="N92" t="e">
        <f ca="1"/>
        <v>#NAME?</v>
      </c>
      <c r="O92" t="e">
        <f ca="1"/>
        <v>#NAME?</v>
      </c>
      <c r="P92" t="str">
        <f ca="1"/>
        <v/>
      </c>
      <c r="Q92" t="str">
        <f ca="1"/>
        <v/>
      </c>
      <c r="R92">
        <f ca="1"/>
        <v>12</v>
      </c>
      <c r="S92" t="str">
        <f ca="1"/>
        <v>ZZZZZ</v>
      </c>
      <c r="T92" t="str">
        <f ca="1"/>
        <v>ZZZZZ</v>
      </c>
      <c r="U92" t="e">
        <f ca="1"/>
        <v>#NAME?</v>
      </c>
      <c r="V92" t="e">
        <f ca="1"/>
        <v>#NAME?</v>
      </c>
      <c r="W92" t="e">
        <f ca="1"/>
        <v>#NAME?</v>
      </c>
      <c r="X92" t="e">
        <f ca="1"/>
        <v>#NAME?</v>
      </c>
      <c r="Y92" t="e" cm="1">
        <f t="array" aca="1" ref="Y92" ca="1">IF(W92&lt;&gt;"", SUMPRODUCT( (input!H:H=tipos_eqs!W92)*1 ), "")</f>
        <v>#NAME?</v>
      </c>
      <c r="Z92" t="e">
        <f ca="1"/>
        <v>#NAME?</v>
      </c>
      <c r="AC92" t="str">
        <f t="shared" ca="1" si="6"/>
        <v/>
      </c>
      <c r="AD92" t="e">
        <f t="shared" ca="1" si="4"/>
        <v>#NAME?</v>
      </c>
      <c r="AE92" t="e">
        <f t="shared" ca="1" si="5"/>
        <v>#NAME?</v>
      </c>
    </row>
    <row r="93" spans="1:31" x14ac:dyDescent="0.3">
      <c r="A93" s="26">
        <f ca="1"/>
        <v>91</v>
      </c>
      <c r="B93" s="28"/>
      <c r="C93" s="28"/>
      <c r="D93" s="31" t="str">
        <f ca="1"/>
        <v>1100</v>
      </c>
      <c r="F93">
        <f ca="1"/>
        <v>0</v>
      </c>
      <c r="G93">
        <f ca="1"/>
        <v>0</v>
      </c>
      <c r="H93" s="28" t="str">
        <f ca="1"/>
        <v>ZZZZZ@@@@@@@@@@@@@@@@@@@@@@@@@@@091</v>
      </c>
      <c r="I93" s="28" t="str">
        <f ca="1"/>
        <v>ZZZZZ@@@091</v>
      </c>
      <c r="J93" s="28" t="e">
        <f ca="1"/>
        <v>#NAME?</v>
      </c>
      <c r="K93" s="28" t="e">
        <f ca="1"/>
        <v>#NAME?</v>
      </c>
      <c r="L93" s="28" t="e">
        <f ca="1"/>
        <v>#NAME?</v>
      </c>
      <c r="M93" s="28" t="e">
        <f ca="1"/>
        <v>#NAME?</v>
      </c>
      <c r="N93" t="e">
        <f ca="1"/>
        <v>#NAME?</v>
      </c>
      <c r="O93" t="e">
        <f ca="1"/>
        <v>#NAME?</v>
      </c>
      <c r="P93" t="str">
        <f ca="1"/>
        <v/>
      </c>
      <c r="Q93" t="str">
        <f ca="1"/>
        <v/>
      </c>
      <c r="R93">
        <f ca="1"/>
        <v>12</v>
      </c>
      <c r="S93" t="str">
        <f ca="1"/>
        <v>ZZZZZ</v>
      </c>
      <c r="T93" t="str">
        <f ca="1"/>
        <v>ZZZZZ</v>
      </c>
      <c r="U93" t="e">
        <f ca="1"/>
        <v>#NAME?</v>
      </c>
      <c r="V93" t="e">
        <f ca="1"/>
        <v>#NAME?</v>
      </c>
      <c r="W93" t="e">
        <f ca="1"/>
        <v>#NAME?</v>
      </c>
      <c r="X93" t="e">
        <f ca="1"/>
        <v>#NAME?</v>
      </c>
      <c r="Y93" t="e" cm="1">
        <f t="array" aca="1" ref="Y93" ca="1">IF(W93&lt;&gt;"", SUMPRODUCT( (input!H:H=tipos_eqs!W93)*1 ), "")</f>
        <v>#NAME?</v>
      </c>
      <c r="Z93" t="e">
        <f ca="1"/>
        <v>#NAME?</v>
      </c>
      <c r="AC93" t="str">
        <f t="shared" ca="1" si="6"/>
        <v/>
      </c>
      <c r="AD93" t="e">
        <f t="shared" ca="1" si="4"/>
        <v>#NAME?</v>
      </c>
      <c r="AE93" t="e">
        <f t="shared" ca="1" si="5"/>
        <v>#NAME?</v>
      </c>
    </row>
    <row r="94" spans="1:31" x14ac:dyDescent="0.3">
      <c r="A94" s="26">
        <f ca="1"/>
        <v>92</v>
      </c>
      <c r="B94" s="28"/>
      <c r="C94" s="28"/>
      <c r="D94" s="31" t="str">
        <f ca="1"/>
        <v>1100</v>
      </c>
      <c r="F94">
        <f ca="1"/>
        <v>0</v>
      </c>
      <c r="G94">
        <f ca="1"/>
        <v>0</v>
      </c>
      <c r="H94" s="28" t="str">
        <f ca="1"/>
        <v>ZZZZZ@@@@@@@@@@@@@@@@@@@@@@@@@@@092</v>
      </c>
      <c r="I94" s="28" t="str">
        <f ca="1"/>
        <v>ZZZZZ@@@092</v>
      </c>
      <c r="J94" s="28" t="e">
        <f ca="1"/>
        <v>#NAME?</v>
      </c>
      <c r="K94" s="28" t="e">
        <f ca="1"/>
        <v>#NAME?</v>
      </c>
      <c r="L94" s="28" t="e">
        <f ca="1"/>
        <v>#NAME?</v>
      </c>
      <c r="M94" s="28" t="e">
        <f ca="1"/>
        <v>#NAME?</v>
      </c>
      <c r="N94" t="e">
        <f ca="1"/>
        <v>#NAME?</v>
      </c>
      <c r="O94" t="e">
        <f ca="1"/>
        <v>#NAME?</v>
      </c>
      <c r="P94" t="str">
        <f ca="1"/>
        <v/>
      </c>
      <c r="Q94" t="str">
        <f ca="1"/>
        <v/>
      </c>
      <c r="R94">
        <f ca="1"/>
        <v>12</v>
      </c>
      <c r="S94" t="str">
        <f ca="1"/>
        <v>ZZZZZ</v>
      </c>
      <c r="T94" t="str">
        <f ca="1"/>
        <v>ZZZZZ</v>
      </c>
      <c r="U94" t="e">
        <f ca="1"/>
        <v>#NAME?</v>
      </c>
      <c r="V94" t="e">
        <f ca="1"/>
        <v>#NAME?</v>
      </c>
      <c r="W94" t="e">
        <f ca="1"/>
        <v>#NAME?</v>
      </c>
      <c r="X94" t="e">
        <f ca="1"/>
        <v>#NAME?</v>
      </c>
      <c r="Y94" t="e" cm="1">
        <f t="array" aca="1" ref="Y94" ca="1">IF(W94&lt;&gt;"", SUMPRODUCT( (input!H:H=tipos_eqs!W94)*1 ), "")</f>
        <v>#NAME?</v>
      </c>
      <c r="Z94" t="e">
        <f ca="1"/>
        <v>#NAME?</v>
      </c>
      <c r="AC94" t="str">
        <f t="shared" ca="1" si="6"/>
        <v/>
      </c>
      <c r="AD94" t="e">
        <f t="shared" ca="1" si="4"/>
        <v>#NAME?</v>
      </c>
      <c r="AE94" t="e">
        <f t="shared" ca="1" si="5"/>
        <v>#NAME?</v>
      </c>
    </row>
    <row r="95" spans="1:31" x14ac:dyDescent="0.3">
      <c r="A95" s="26">
        <f ca="1"/>
        <v>93</v>
      </c>
      <c r="B95" s="28"/>
      <c r="C95" s="28"/>
      <c r="D95" s="31" t="str">
        <f ca="1"/>
        <v>1100</v>
      </c>
      <c r="F95">
        <f ca="1"/>
        <v>0</v>
      </c>
      <c r="G95">
        <f ca="1"/>
        <v>0</v>
      </c>
      <c r="H95" s="28" t="str">
        <f ca="1"/>
        <v>ZZZZZ@@@@@@@@@@@@@@@@@@@@@@@@@@@093</v>
      </c>
      <c r="I95" s="28" t="str">
        <f ca="1"/>
        <v>ZZZZZ@@@093</v>
      </c>
      <c r="J95" s="28" t="e">
        <f ca="1"/>
        <v>#NAME?</v>
      </c>
      <c r="K95" s="28" t="e">
        <f ca="1"/>
        <v>#NAME?</v>
      </c>
      <c r="L95" s="28" t="e">
        <f ca="1"/>
        <v>#NAME?</v>
      </c>
      <c r="M95" s="28" t="e">
        <f ca="1"/>
        <v>#NAME?</v>
      </c>
      <c r="N95" t="e">
        <f ca="1"/>
        <v>#NAME?</v>
      </c>
      <c r="O95" t="e">
        <f ca="1"/>
        <v>#NAME?</v>
      </c>
      <c r="P95" t="str">
        <f ca="1"/>
        <v/>
      </c>
      <c r="Q95" t="str">
        <f ca="1"/>
        <v/>
      </c>
      <c r="R95">
        <f ca="1"/>
        <v>12</v>
      </c>
      <c r="S95" t="str">
        <f ca="1"/>
        <v>ZZZZZ</v>
      </c>
      <c r="T95" t="str">
        <f ca="1"/>
        <v>ZZZZZ</v>
      </c>
      <c r="U95" t="e">
        <f ca="1"/>
        <v>#NAME?</v>
      </c>
      <c r="V95" t="e">
        <f ca="1"/>
        <v>#NAME?</v>
      </c>
      <c r="W95" t="e">
        <f ca="1"/>
        <v>#NAME?</v>
      </c>
      <c r="X95" t="e">
        <f ca="1"/>
        <v>#NAME?</v>
      </c>
      <c r="Y95" t="e" cm="1">
        <f t="array" aca="1" ref="Y95" ca="1">IF(W95&lt;&gt;"", SUMPRODUCT( (input!H:H=tipos_eqs!W95)*1 ), "")</f>
        <v>#NAME?</v>
      </c>
      <c r="Z95" t="e">
        <f ca="1"/>
        <v>#NAME?</v>
      </c>
      <c r="AC95" t="str">
        <f t="shared" ca="1" si="6"/>
        <v/>
      </c>
      <c r="AD95" t="e">
        <f t="shared" ca="1" si="4"/>
        <v>#NAME?</v>
      </c>
      <c r="AE95" t="e">
        <f t="shared" ca="1" si="5"/>
        <v>#NAME?</v>
      </c>
    </row>
    <row r="96" spans="1:31" x14ac:dyDescent="0.3">
      <c r="A96" s="26">
        <f ca="1"/>
        <v>94</v>
      </c>
      <c r="B96" s="28"/>
      <c r="C96" s="28"/>
      <c r="D96" s="31" t="str">
        <f ca="1"/>
        <v>1100</v>
      </c>
      <c r="F96">
        <f ca="1"/>
        <v>0</v>
      </c>
      <c r="G96">
        <f ca="1"/>
        <v>0</v>
      </c>
      <c r="H96" s="28" t="str">
        <f ca="1"/>
        <v>ZZZZZ@@@@@@@@@@@@@@@@@@@@@@@@@@@094</v>
      </c>
      <c r="I96" s="28" t="str">
        <f ca="1"/>
        <v>ZZZZZ@@@094</v>
      </c>
      <c r="J96" s="28" t="e">
        <f ca="1"/>
        <v>#NAME?</v>
      </c>
      <c r="K96" s="28" t="e">
        <f ca="1"/>
        <v>#NAME?</v>
      </c>
      <c r="L96" s="28" t="e">
        <f ca="1"/>
        <v>#NAME?</v>
      </c>
      <c r="M96" s="28" t="e">
        <f ca="1"/>
        <v>#NAME?</v>
      </c>
      <c r="N96" t="e">
        <f ca="1"/>
        <v>#NAME?</v>
      </c>
      <c r="O96" t="e">
        <f ca="1"/>
        <v>#NAME?</v>
      </c>
      <c r="P96" t="str">
        <f ca="1"/>
        <v/>
      </c>
      <c r="Q96" t="str">
        <f ca="1"/>
        <v/>
      </c>
      <c r="R96">
        <f ca="1"/>
        <v>12</v>
      </c>
      <c r="S96" t="str">
        <f ca="1"/>
        <v>ZZZZZ</v>
      </c>
      <c r="T96" t="str">
        <f ca="1"/>
        <v>ZZZZZ</v>
      </c>
      <c r="U96" t="e">
        <f ca="1"/>
        <v>#NAME?</v>
      </c>
      <c r="V96" t="e">
        <f ca="1"/>
        <v>#NAME?</v>
      </c>
      <c r="W96" t="e">
        <f ca="1"/>
        <v>#NAME?</v>
      </c>
      <c r="X96" t="e">
        <f ca="1"/>
        <v>#NAME?</v>
      </c>
      <c r="Y96" t="e" cm="1">
        <f t="array" aca="1" ref="Y96" ca="1">IF(W96&lt;&gt;"", SUMPRODUCT( (input!H:H=tipos_eqs!W96)*1 ), "")</f>
        <v>#NAME?</v>
      </c>
      <c r="Z96" t="e">
        <f ca="1"/>
        <v>#NAME?</v>
      </c>
      <c r="AC96" t="str">
        <f t="shared" ca="1" si="6"/>
        <v/>
      </c>
      <c r="AD96" t="e">
        <f t="shared" ca="1" si="4"/>
        <v>#NAME?</v>
      </c>
      <c r="AE96" t="e">
        <f t="shared" ca="1" si="5"/>
        <v>#NAME?</v>
      </c>
    </row>
    <row r="97" spans="1:31" x14ac:dyDescent="0.3">
      <c r="A97" s="26">
        <f ca="1"/>
        <v>95</v>
      </c>
      <c r="B97" s="28"/>
      <c r="C97" s="28"/>
      <c r="D97" s="31" t="str">
        <f ca="1"/>
        <v>1100</v>
      </c>
      <c r="F97">
        <f ca="1"/>
        <v>0</v>
      </c>
      <c r="G97">
        <f ca="1"/>
        <v>0</v>
      </c>
      <c r="H97" s="28" t="str">
        <f ca="1"/>
        <v>ZZZZZ@@@@@@@@@@@@@@@@@@@@@@@@@@@095</v>
      </c>
      <c r="I97" s="28" t="str">
        <f ca="1"/>
        <v>ZZZZZ@@@095</v>
      </c>
      <c r="J97" s="28" t="e">
        <f ca="1"/>
        <v>#NAME?</v>
      </c>
      <c r="K97" s="28" t="e">
        <f ca="1"/>
        <v>#NAME?</v>
      </c>
      <c r="L97" s="28" t="e">
        <f ca="1"/>
        <v>#NAME?</v>
      </c>
      <c r="M97" s="28" t="e">
        <f ca="1"/>
        <v>#NAME?</v>
      </c>
      <c r="N97" t="e">
        <f ca="1"/>
        <v>#NAME?</v>
      </c>
      <c r="O97" t="e">
        <f ca="1"/>
        <v>#NAME?</v>
      </c>
      <c r="P97" t="str">
        <f ca="1"/>
        <v/>
      </c>
      <c r="Q97" t="str">
        <f ca="1"/>
        <v/>
      </c>
      <c r="R97">
        <f ca="1"/>
        <v>12</v>
      </c>
      <c r="S97" t="str">
        <f ca="1"/>
        <v>ZZZZZ</v>
      </c>
      <c r="T97" t="str">
        <f ca="1"/>
        <v>ZZZZZ</v>
      </c>
      <c r="U97" t="e">
        <f ca="1"/>
        <v>#NAME?</v>
      </c>
      <c r="V97" t="e">
        <f ca="1"/>
        <v>#NAME?</v>
      </c>
      <c r="W97" t="e">
        <f ca="1"/>
        <v>#NAME?</v>
      </c>
      <c r="X97" t="e">
        <f ca="1"/>
        <v>#NAME?</v>
      </c>
      <c r="Y97" t="e" cm="1">
        <f t="array" aca="1" ref="Y97" ca="1">IF(W97&lt;&gt;"", SUMPRODUCT( (input!H:H=tipos_eqs!W97)*1 ), "")</f>
        <v>#NAME?</v>
      </c>
      <c r="Z97" t="e">
        <f ca="1"/>
        <v>#NAME?</v>
      </c>
      <c r="AC97" t="str">
        <f t="shared" ca="1" si="6"/>
        <v/>
      </c>
      <c r="AD97" t="e">
        <f t="shared" ca="1" si="4"/>
        <v>#NAME?</v>
      </c>
      <c r="AE97" t="e">
        <f t="shared" ca="1" si="5"/>
        <v>#NAME?</v>
      </c>
    </row>
    <row r="98" spans="1:31" x14ac:dyDescent="0.3">
      <c r="A98" s="26">
        <f ca="1"/>
        <v>96</v>
      </c>
      <c r="B98" s="28"/>
      <c r="C98" s="28"/>
      <c r="D98" s="31" t="str">
        <f ca="1"/>
        <v>1100</v>
      </c>
      <c r="F98">
        <f ca="1"/>
        <v>0</v>
      </c>
      <c r="G98">
        <f ca="1"/>
        <v>0</v>
      </c>
      <c r="H98" s="28" t="str">
        <f ca="1"/>
        <v>ZZZZZ@@@@@@@@@@@@@@@@@@@@@@@@@@@096</v>
      </c>
      <c r="I98" s="28" t="str">
        <f ca="1"/>
        <v>ZZZZZ@@@096</v>
      </c>
      <c r="J98" s="28" t="e">
        <f ca="1"/>
        <v>#NAME?</v>
      </c>
      <c r="K98" s="28" t="e">
        <f ca="1"/>
        <v>#NAME?</v>
      </c>
      <c r="L98" s="28" t="e">
        <f ca="1"/>
        <v>#NAME?</v>
      </c>
      <c r="M98" s="28" t="e">
        <f ca="1"/>
        <v>#NAME?</v>
      </c>
      <c r="N98" t="e">
        <f ca="1"/>
        <v>#NAME?</v>
      </c>
      <c r="O98" t="e">
        <f ca="1"/>
        <v>#NAME?</v>
      </c>
      <c r="P98" t="str">
        <f ca="1"/>
        <v/>
      </c>
      <c r="Q98" t="str">
        <f ca="1"/>
        <v/>
      </c>
      <c r="R98">
        <f ca="1"/>
        <v>12</v>
      </c>
      <c r="S98" t="str">
        <f ca="1"/>
        <v>ZZZZZ</v>
      </c>
      <c r="T98" t="str">
        <f ca="1"/>
        <v>ZZZZZ</v>
      </c>
      <c r="U98" t="e">
        <f ca="1"/>
        <v>#NAME?</v>
      </c>
      <c r="V98" t="e">
        <f ca="1"/>
        <v>#NAME?</v>
      </c>
      <c r="W98" t="e">
        <f ca="1"/>
        <v>#NAME?</v>
      </c>
      <c r="X98" t="e">
        <f ca="1"/>
        <v>#NAME?</v>
      </c>
      <c r="Y98" t="e" cm="1">
        <f t="array" aca="1" ref="Y98" ca="1">IF(W98&lt;&gt;"", SUMPRODUCT( (input!H:H=tipos_eqs!W98)*1 ), "")</f>
        <v>#NAME?</v>
      </c>
      <c r="Z98" t="e">
        <f ca="1"/>
        <v>#NAME?</v>
      </c>
      <c r="AC98" t="str">
        <f t="shared" ca="1" si="6"/>
        <v/>
      </c>
      <c r="AD98" t="e">
        <f t="shared" ca="1" si="4"/>
        <v>#NAME?</v>
      </c>
      <c r="AE98" t="e">
        <f t="shared" ca="1" si="5"/>
        <v>#NAME?</v>
      </c>
    </row>
    <row r="99" spans="1:31" x14ac:dyDescent="0.3">
      <c r="A99" s="26">
        <f ca="1"/>
        <v>97</v>
      </c>
      <c r="B99" s="28"/>
      <c r="C99" s="28"/>
      <c r="D99" s="31" t="str">
        <f ca="1"/>
        <v>1100</v>
      </c>
      <c r="F99">
        <f ca="1"/>
        <v>0</v>
      </c>
      <c r="G99">
        <f ca="1"/>
        <v>0</v>
      </c>
      <c r="H99" s="28" t="str">
        <f ca="1"/>
        <v>ZZZZZ@@@@@@@@@@@@@@@@@@@@@@@@@@@097</v>
      </c>
      <c r="I99" s="28" t="str">
        <f ca="1"/>
        <v>ZZZZZ@@@097</v>
      </c>
      <c r="J99" s="28" t="e">
        <f ca="1"/>
        <v>#NAME?</v>
      </c>
      <c r="K99" s="28" t="e">
        <f ca="1"/>
        <v>#NAME?</v>
      </c>
      <c r="L99" s="28" t="e">
        <f ca="1"/>
        <v>#NAME?</v>
      </c>
      <c r="M99" s="28" t="e">
        <f ca="1"/>
        <v>#NAME?</v>
      </c>
      <c r="N99" t="e">
        <f ca="1"/>
        <v>#NAME?</v>
      </c>
      <c r="O99" t="e">
        <f ca="1"/>
        <v>#NAME?</v>
      </c>
      <c r="P99" t="str">
        <f ca="1"/>
        <v/>
      </c>
      <c r="Q99" t="str">
        <f ca="1"/>
        <v/>
      </c>
      <c r="R99">
        <f ca="1"/>
        <v>12</v>
      </c>
      <c r="S99" t="str">
        <f ca="1"/>
        <v>ZZZZZ</v>
      </c>
      <c r="T99" t="str">
        <f ca="1"/>
        <v>ZZZZZ</v>
      </c>
      <c r="U99" t="e">
        <f ca="1"/>
        <v>#NAME?</v>
      </c>
      <c r="V99" t="e">
        <f ca="1"/>
        <v>#NAME?</v>
      </c>
      <c r="W99" t="e">
        <f ca="1"/>
        <v>#NAME?</v>
      </c>
      <c r="X99" t="e">
        <f ca="1"/>
        <v>#NAME?</v>
      </c>
      <c r="Y99" t="e" cm="1">
        <f t="array" aca="1" ref="Y99" ca="1">IF(W99&lt;&gt;"", SUMPRODUCT( (input!H:H=tipos_eqs!W99)*1 ), "")</f>
        <v>#NAME?</v>
      </c>
      <c r="Z99" t="e">
        <f ca="1"/>
        <v>#NAME?</v>
      </c>
      <c r="AC99" t="str">
        <f t="shared" ca="1" si="6"/>
        <v/>
      </c>
      <c r="AD99" t="e">
        <f t="shared" ca="1" si="4"/>
        <v>#NAME?</v>
      </c>
      <c r="AE99" t="e">
        <f t="shared" ca="1" si="5"/>
        <v>#NAME?</v>
      </c>
    </row>
    <row r="100" spans="1:31" x14ac:dyDescent="0.3">
      <c r="A100" s="26">
        <f ca="1"/>
        <v>98</v>
      </c>
      <c r="B100" s="28"/>
      <c r="C100" s="28"/>
      <c r="D100" s="31" t="str">
        <f ca="1"/>
        <v>1100</v>
      </c>
      <c r="F100">
        <f ca="1"/>
        <v>0</v>
      </c>
      <c r="G100">
        <f ca="1"/>
        <v>0</v>
      </c>
      <c r="H100" s="28" t="str">
        <f ca="1"/>
        <v>ZZZZZ@@@@@@@@@@@@@@@@@@@@@@@@@@@098</v>
      </c>
      <c r="I100" s="28" t="str">
        <f ca="1"/>
        <v>ZZZZZ@@@098</v>
      </c>
      <c r="J100" s="28" t="e">
        <f ca="1"/>
        <v>#NAME?</v>
      </c>
      <c r="K100" s="28" t="e">
        <f ca="1"/>
        <v>#NAME?</v>
      </c>
      <c r="L100" s="28" t="e">
        <f ca="1"/>
        <v>#NAME?</v>
      </c>
      <c r="M100" s="28" t="e">
        <f ca="1"/>
        <v>#NAME?</v>
      </c>
      <c r="N100" t="e">
        <f ca="1"/>
        <v>#NAME?</v>
      </c>
      <c r="O100" t="e">
        <f ca="1"/>
        <v>#NAME?</v>
      </c>
      <c r="P100" t="str">
        <f ca="1"/>
        <v/>
      </c>
      <c r="Q100" t="str">
        <f ca="1"/>
        <v/>
      </c>
      <c r="R100">
        <f ca="1"/>
        <v>12</v>
      </c>
      <c r="S100" t="str">
        <f ca="1"/>
        <v>ZZZZZ</v>
      </c>
      <c r="T100" t="str">
        <f ca="1"/>
        <v>ZZZZZ</v>
      </c>
      <c r="U100" t="e">
        <f ca="1"/>
        <v>#NAME?</v>
      </c>
      <c r="V100" t="e">
        <f ca="1"/>
        <v>#NAME?</v>
      </c>
      <c r="W100" t="e">
        <f ca="1"/>
        <v>#NAME?</v>
      </c>
      <c r="X100" t="e">
        <f ca="1"/>
        <v>#NAME?</v>
      </c>
      <c r="Y100" t="e" cm="1">
        <f t="array" aca="1" ref="Y100" ca="1">IF(W100&lt;&gt;"", SUMPRODUCT( (input!H:H=tipos_eqs!W100)*1 ), "")</f>
        <v>#NAME?</v>
      </c>
      <c r="Z100" t="e">
        <f ca="1"/>
        <v>#NAME?</v>
      </c>
      <c r="AC100" t="str">
        <f t="shared" ca="1" si="6"/>
        <v/>
      </c>
      <c r="AD100" t="e">
        <f t="shared" ref="AD100:AD131" ca="1" si="7">IF(AA100=AA99, AD99 &amp; ", ", "") &amp; AC100</f>
        <v>#NAME?</v>
      </c>
      <c r="AE100" t="e">
        <f t="shared" ca="1" si="5"/>
        <v>#NAME?</v>
      </c>
    </row>
    <row r="101" spans="1:31" x14ac:dyDescent="0.3">
      <c r="A101" s="26">
        <f ca="1"/>
        <v>99</v>
      </c>
      <c r="B101" s="28"/>
      <c r="C101" s="28"/>
      <c r="D101" s="31" t="str">
        <f ca="1"/>
        <v>1100</v>
      </c>
      <c r="F101">
        <f ca="1"/>
        <v>0</v>
      </c>
      <c r="G101">
        <f ca="1"/>
        <v>0</v>
      </c>
      <c r="H101" s="28" t="str">
        <f ca="1"/>
        <v>ZZZZZ@@@@@@@@@@@@@@@@@@@@@@@@@@@099</v>
      </c>
      <c r="I101" s="28" t="str">
        <f ca="1"/>
        <v>ZZZZZ@@@099</v>
      </c>
      <c r="J101" s="28" t="e">
        <f ca="1"/>
        <v>#NAME?</v>
      </c>
      <c r="K101" s="28" t="e">
        <f ca="1"/>
        <v>#NAME?</v>
      </c>
      <c r="L101" s="28" t="e">
        <f ca="1"/>
        <v>#NAME?</v>
      </c>
      <c r="M101" s="28" t="e">
        <f ca="1"/>
        <v>#NAME?</v>
      </c>
      <c r="N101" t="e">
        <f ca="1"/>
        <v>#NAME?</v>
      </c>
      <c r="O101" t="e">
        <f ca="1"/>
        <v>#NAME?</v>
      </c>
      <c r="P101" t="str">
        <f ca="1"/>
        <v/>
      </c>
      <c r="Q101" t="str">
        <f ca="1"/>
        <v/>
      </c>
      <c r="R101">
        <f ca="1"/>
        <v>12</v>
      </c>
      <c r="S101" t="str">
        <f ca="1"/>
        <v>ZZZZZ</v>
      </c>
      <c r="T101" t="str">
        <f ca="1"/>
        <v>ZZZZZ</v>
      </c>
      <c r="U101" t="e">
        <f ca="1"/>
        <v>#NAME?</v>
      </c>
      <c r="V101" t="e">
        <f ca="1"/>
        <v>#NAME?</v>
      </c>
      <c r="W101" t="e">
        <f ca="1"/>
        <v>#NAME?</v>
      </c>
      <c r="X101" t="e">
        <f ca="1"/>
        <v>#NAME?</v>
      </c>
      <c r="Y101" t="e" cm="1">
        <f t="array" aca="1" ref="Y101" ca="1">IF(W101&lt;&gt;"", SUMPRODUCT( (input!H:H=tipos_eqs!W101)*1 ), "")</f>
        <v>#NAME?</v>
      </c>
      <c r="Z101" t="e">
        <f ca="1"/>
        <v>#NAME?</v>
      </c>
      <c r="AC101" t="str">
        <f t="shared" ca="1" si="6"/>
        <v/>
      </c>
      <c r="AD101" t="e">
        <f t="shared" ca="1" si="7"/>
        <v>#NAME?</v>
      </c>
      <c r="AE101" t="e">
        <f t="shared" ca="1" si="5"/>
        <v>#NAME?</v>
      </c>
    </row>
    <row r="102" spans="1:31" x14ac:dyDescent="0.3">
      <c r="A102" s="26">
        <f ca="1"/>
        <v>100</v>
      </c>
      <c r="B102" s="28"/>
      <c r="C102" s="28"/>
      <c r="D102" s="31" t="str">
        <f ca="1"/>
        <v>1100</v>
      </c>
      <c r="F102">
        <f ca="1"/>
        <v>0</v>
      </c>
      <c r="G102">
        <f ca="1"/>
        <v>0</v>
      </c>
      <c r="H102" s="28" t="str">
        <f ca="1"/>
        <v>ZZZZZ@@@@@@@@@@@@@@@@@@@@@@@@@@@100</v>
      </c>
      <c r="I102" s="28" t="str">
        <f ca="1"/>
        <v>ZZZZZ@@@100</v>
      </c>
      <c r="J102" s="28" t="e">
        <f ca="1"/>
        <v>#NAME?</v>
      </c>
      <c r="K102" s="28" t="e">
        <f ca="1"/>
        <v>#NAME?</v>
      </c>
      <c r="L102" s="28" t="e">
        <f ca="1"/>
        <v>#NAME?</v>
      </c>
      <c r="M102" s="28" t="e">
        <f ca="1"/>
        <v>#NAME?</v>
      </c>
      <c r="N102" t="e">
        <f ca="1"/>
        <v>#NAME?</v>
      </c>
      <c r="O102" t="e">
        <f ca="1"/>
        <v>#NAME?</v>
      </c>
      <c r="P102" t="str">
        <f ca="1"/>
        <v/>
      </c>
      <c r="Q102" t="str">
        <f ca="1"/>
        <v/>
      </c>
      <c r="R102">
        <f ca="1"/>
        <v>12</v>
      </c>
      <c r="S102" t="str">
        <f ca="1"/>
        <v>ZZZZZ</v>
      </c>
      <c r="T102" t="str">
        <f ca="1"/>
        <v>ZZZZZ</v>
      </c>
      <c r="U102" t="e">
        <f ca="1"/>
        <v>#NAME?</v>
      </c>
      <c r="V102" t="e">
        <f ca="1"/>
        <v>#NAME?</v>
      </c>
      <c r="W102" t="e">
        <f ca="1"/>
        <v>#NAME?</v>
      </c>
      <c r="X102" t="e">
        <f ca="1"/>
        <v>#NAME?</v>
      </c>
      <c r="Y102" t="e" cm="1">
        <f t="array" aca="1" ref="Y102" ca="1">IF(W102&lt;&gt;"", SUMPRODUCT( (input!H:H=tipos_eqs!W102)*1 ), "")</f>
        <v>#NAME?</v>
      </c>
      <c r="Z102" t="e">
        <f ca="1"/>
        <v>#NAME?</v>
      </c>
      <c r="AC102" t="str">
        <f t="shared" ca="1" si="6"/>
        <v/>
      </c>
      <c r="AD102" t="e">
        <f t="shared" ca="1" si="7"/>
        <v>#NAME?</v>
      </c>
      <c r="AE102" t="e">
        <f t="shared" ca="1" si="5"/>
        <v>#NAME?</v>
      </c>
    </row>
    <row r="103" spans="1:31" x14ac:dyDescent="0.3">
      <c r="A103" s="26">
        <f ca="1"/>
        <v>101</v>
      </c>
      <c r="B103" s="28"/>
      <c r="C103" s="28"/>
      <c r="D103" s="31" t="str">
        <f ca="1"/>
        <v>1100</v>
      </c>
      <c r="F103">
        <f ca="1"/>
        <v>0</v>
      </c>
      <c r="G103">
        <f ca="1"/>
        <v>0</v>
      </c>
      <c r="H103" s="28" t="str">
        <f ca="1"/>
        <v>ZZZZZ@@@@@@@@@@@@@@@@@@@@@@@@@@@101</v>
      </c>
      <c r="I103" s="28" t="str">
        <f ca="1"/>
        <v>ZZZZZ@@@101</v>
      </c>
      <c r="J103" s="28" t="e">
        <f ca="1"/>
        <v>#NAME?</v>
      </c>
      <c r="K103" s="28" t="e">
        <f ca="1"/>
        <v>#NAME?</v>
      </c>
      <c r="L103" s="28" t="e">
        <f ca="1"/>
        <v>#NAME?</v>
      </c>
      <c r="M103" s="28" t="e">
        <f ca="1"/>
        <v>#NAME?</v>
      </c>
      <c r="N103" t="e">
        <f ca="1"/>
        <v>#NAME?</v>
      </c>
      <c r="O103" t="e">
        <f ca="1"/>
        <v>#NAME?</v>
      </c>
      <c r="P103" t="str">
        <f ca="1"/>
        <v/>
      </c>
      <c r="Q103" t="str">
        <f ca="1"/>
        <v/>
      </c>
      <c r="R103">
        <f ca="1"/>
        <v>12</v>
      </c>
      <c r="S103" t="str">
        <f ca="1"/>
        <v>ZZZZZ</v>
      </c>
      <c r="T103" t="str">
        <f ca="1"/>
        <v>ZZZZZ</v>
      </c>
      <c r="U103" t="e">
        <f ca="1"/>
        <v>#NAME?</v>
      </c>
      <c r="V103" t="e">
        <f ca="1"/>
        <v>#NAME?</v>
      </c>
      <c r="W103" t="e">
        <f ca="1"/>
        <v>#NAME?</v>
      </c>
      <c r="X103" t="e">
        <f ca="1"/>
        <v>#NAME?</v>
      </c>
      <c r="Y103" t="e" cm="1">
        <f t="array" aca="1" ref="Y103" ca="1">IF(W103&lt;&gt;"", SUMPRODUCT( (input!H:H=tipos_eqs!W103)*1 ), "")</f>
        <v>#NAME?</v>
      </c>
      <c r="Z103" t="e">
        <f ca="1"/>
        <v>#NAME?</v>
      </c>
      <c r="AC103" t="str">
        <f t="shared" ca="1" si="6"/>
        <v/>
      </c>
      <c r="AD103" t="e">
        <f t="shared" ca="1" si="7"/>
        <v>#NAME?</v>
      </c>
      <c r="AE103" t="e">
        <f t="shared" ca="1" si="5"/>
        <v>#NAME?</v>
      </c>
    </row>
    <row r="104" spans="1:31" x14ac:dyDescent="0.3">
      <c r="A104" s="26">
        <f ca="1"/>
        <v>102</v>
      </c>
      <c r="B104" s="28"/>
      <c r="C104" s="28"/>
      <c r="D104" s="31" t="str">
        <f ca="1"/>
        <v>1100</v>
      </c>
      <c r="F104">
        <f ca="1"/>
        <v>0</v>
      </c>
      <c r="G104">
        <f ca="1"/>
        <v>0</v>
      </c>
      <c r="H104" s="28" t="str">
        <f ca="1"/>
        <v>ZZZZZ@@@@@@@@@@@@@@@@@@@@@@@@@@@102</v>
      </c>
      <c r="I104" s="28" t="str">
        <f ca="1"/>
        <v>ZZZZZ@@@102</v>
      </c>
      <c r="J104" s="28" t="e">
        <f ca="1"/>
        <v>#NAME?</v>
      </c>
      <c r="K104" s="28" t="e">
        <f ca="1"/>
        <v>#NAME?</v>
      </c>
      <c r="L104" s="28" t="e">
        <f ca="1"/>
        <v>#NAME?</v>
      </c>
      <c r="M104" s="28" t="e">
        <f ca="1"/>
        <v>#NAME?</v>
      </c>
      <c r="N104" t="e">
        <f ca="1"/>
        <v>#NAME?</v>
      </c>
      <c r="O104" t="e">
        <f ca="1"/>
        <v>#NAME?</v>
      </c>
      <c r="P104" t="str">
        <f ca="1"/>
        <v/>
      </c>
      <c r="Q104" t="str">
        <f ca="1"/>
        <v/>
      </c>
      <c r="R104">
        <f ca="1"/>
        <v>12</v>
      </c>
      <c r="S104" t="str">
        <f ca="1"/>
        <v>ZZZZZ</v>
      </c>
      <c r="T104" t="str">
        <f ca="1"/>
        <v>ZZZZZ</v>
      </c>
      <c r="U104" t="e">
        <f ca="1"/>
        <v>#NAME?</v>
      </c>
      <c r="V104" t="e">
        <f ca="1"/>
        <v>#NAME?</v>
      </c>
      <c r="W104" t="e">
        <f ca="1"/>
        <v>#NAME?</v>
      </c>
      <c r="X104" t="e">
        <f ca="1"/>
        <v>#NAME?</v>
      </c>
      <c r="Y104" t="e" cm="1">
        <f t="array" aca="1" ref="Y104" ca="1">IF(W104&lt;&gt;"", SUMPRODUCT( (input!H:H=tipos_eqs!W104)*1 ), "")</f>
        <v>#NAME?</v>
      </c>
      <c r="Z104" t="e">
        <f ca="1"/>
        <v>#NAME?</v>
      </c>
      <c r="AC104" t="str">
        <f t="shared" ca="1" si="6"/>
        <v/>
      </c>
      <c r="AD104" t="e">
        <f t="shared" ca="1" si="7"/>
        <v>#NAME?</v>
      </c>
      <c r="AE104" t="e">
        <f t="shared" ca="1" si="5"/>
        <v>#NAME?</v>
      </c>
    </row>
    <row r="105" spans="1:31" x14ac:dyDescent="0.3">
      <c r="A105" s="26">
        <f ca="1"/>
        <v>103</v>
      </c>
      <c r="B105" s="28"/>
      <c r="C105" s="28"/>
      <c r="D105" s="31" t="str">
        <f ca="1"/>
        <v>1100</v>
      </c>
      <c r="F105">
        <f ca="1"/>
        <v>0</v>
      </c>
      <c r="G105">
        <f ca="1"/>
        <v>0</v>
      </c>
      <c r="H105" s="28" t="str">
        <f ca="1"/>
        <v>ZZZZZ@@@@@@@@@@@@@@@@@@@@@@@@@@@103</v>
      </c>
      <c r="I105" s="28" t="str">
        <f ca="1"/>
        <v>ZZZZZ@@@103</v>
      </c>
      <c r="J105" s="28" t="e">
        <f ca="1"/>
        <v>#NAME?</v>
      </c>
      <c r="K105" s="28" t="e">
        <f ca="1"/>
        <v>#NAME?</v>
      </c>
      <c r="L105" s="28" t="e">
        <f ca="1"/>
        <v>#NAME?</v>
      </c>
      <c r="M105" s="28" t="e">
        <f ca="1"/>
        <v>#NAME?</v>
      </c>
      <c r="N105" t="e">
        <f ca="1"/>
        <v>#NAME?</v>
      </c>
      <c r="O105" t="e">
        <f ca="1"/>
        <v>#NAME?</v>
      </c>
      <c r="P105" t="str">
        <f ca="1"/>
        <v/>
      </c>
      <c r="Q105" t="str">
        <f ca="1"/>
        <v/>
      </c>
      <c r="R105">
        <f ca="1"/>
        <v>12</v>
      </c>
      <c r="S105" t="str">
        <f ca="1"/>
        <v>ZZZZZ</v>
      </c>
      <c r="T105" t="str">
        <f ca="1"/>
        <v>ZZZZZ</v>
      </c>
      <c r="U105" t="e">
        <f ca="1"/>
        <v>#NAME?</v>
      </c>
      <c r="V105" t="e">
        <f ca="1"/>
        <v>#NAME?</v>
      </c>
      <c r="W105" t="e">
        <f ca="1"/>
        <v>#NAME?</v>
      </c>
      <c r="X105" t="e">
        <f ca="1"/>
        <v>#NAME?</v>
      </c>
      <c r="Y105" t="e" cm="1">
        <f t="array" aca="1" ref="Y105" ca="1">IF(W105&lt;&gt;"", SUMPRODUCT( (input!H:H=tipos_eqs!W105)*1 ), "")</f>
        <v>#NAME?</v>
      </c>
      <c r="Z105" t="e">
        <f ca="1"/>
        <v>#NAME?</v>
      </c>
      <c r="AC105" t="str">
        <f t="shared" ca="1" si="6"/>
        <v/>
      </c>
      <c r="AD105" t="e">
        <f t="shared" ca="1" si="7"/>
        <v>#NAME?</v>
      </c>
      <c r="AE105" t="e">
        <f t="shared" ca="1" si="5"/>
        <v>#NAME?</v>
      </c>
    </row>
    <row r="106" spans="1:31" x14ac:dyDescent="0.3">
      <c r="A106" s="26">
        <f ca="1"/>
        <v>104</v>
      </c>
      <c r="B106" s="28"/>
      <c r="C106" s="28"/>
      <c r="D106" s="31" t="str">
        <f ca="1"/>
        <v>1100</v>
      </c>
      <c r="F106">
        <f ca="1"/>
        <v>0</v>
      </c>
      <c r="G106">
        <f ca="1"/>
        <v>0</v>
      </c>
      <c r="H106" s="28" t="str">
        <f ca="1"/>
        <v>ZZZZZ@@@@@@@@@@@@@@@@@@@@@@@@@@@104</v>
      </c>
      <c r="I106" s="28" t="str">
        <f ca="1"/>
        <v>ZZZZZ@@@104</v>
      </c>
      <c r="J106" s="28" t="e">
        <f ca="1"/>
        <v>#NAME?</v>
      </c>
      <c r="K106" s="28" t="e">
        <f ca="1"/>
        <v>#NAME?</v>
      </c>
      <c r="L106" s="28" t="e">
        <f ca="1"/>
        <v>#NAME?</v>
      </c>
      <c r="M106" s="28" t="e">
        <f ca="1"/>
        <v>#NAME?</v>
      </c>
      <c r="N106" t="e">
        <f ca="1"/>
        <v>#NAME?</v>
      </c>
      <c r="O106" t="e">
        <f ca="1"/>
        <v>#NAME?</v>
      </c>
      <c r="P106" t="str">
        <f ca="1"/>
        <v/>
      </c>
      <c r="Q106" t="str">
        <f ca="1"/>
        <v/>
      </c>
      <c r="R106">
        <f ca="1"/>
        <v>12</v>
      </c>
      <c r="S106" t="str">
        <f ca="1"/>
        <v>ZZZZZ</v>
      </c>
      <c r="T106" t="str">
        <f ca="1"/>
        <v>ZZZZZ</v>
      </c>
      <c r="U106" t="e">
        <f ca="1"/>
        <v>#NAME?</v>
      </c>
      <c r="V106" t="e">
        <f ca="1"/>
        <v>#NAME?</v>
      </c>
      <c r="W106" t="e">
        <f ca="1"/>
        <v>#NAME?</v>
      </c>
      <c r="X106" t="e">
        <f ca="1"/>
        <v>#NAME?</v>
      </c>
      <c r="Y106" t="e" cm="1">
        <f t="array" aca="1" ref="Y106" ca="1">IF(W106&lt;&gt;"", SUMPRODUCT( (input!H:H=tipos_eqs!W106)*1 ), "")</f>
        <v>#NAME?</v>
      </c>
      <c r="Z106" t="e">
        <f ca="1"/>
        <v>#NAME?</v>
      </c>
      <c r="AC106" t="str">
        <f t="shared" ca="1" si="6"/>
        <v/>
      </c>
      <c r="AD106" t="e">
        <f t="shared" ca="1" si="7"/>
        <v>#NAME?</v>
      </c>
      <c r="AE106" t="e">
        <f t="shared" ca="1" si="5"/>
        <v>#NAME?</v>
      </c>
    </row>
    <row r="107" spans="1:31" x14ac:dyDescent="0.3">
      <c r="A107" s="26">
        <f ca="1"/>
        <v>105</v>
      </c>
      <c r="B107" s="28"/>
      <c r="C107" s="28"/>
      <c r="D107" s="31" t="str">
        <f ca="1"/>
        <v>1100</v>
      </c>
      <c r="F107">
        <f ca="1"/>
        <v>0</v>
      </c>
      <c r="G107">
        <f ca="1"/>
        <v>0</v>
      </c>
      <c r="H107" s="28" t="str">
        <f ca="1"/>
        <v>ZZZZZ@@@@@@@@@@@@@@@@@@@@@@@@@@@105</v>
      </c>
      <c r="I107" s="28" t="str">
        <f ca="1"/>
        <v>ZZZZZ@@@105</v>
      </c>
      <c r="J107" s="28" t="e">
        <f ca="1"/>
        <v>#NAME?</v>
      </c>
      <c r="K107" s="28" t="e">
        <f ca="1"/>
        <v>#NAME?</v>
      </c>
      <c r="L107" s="28" t="e">
        <f ca="1"/>
        <v>#NAME?</v>
      </c>
      <c r="M107" s="28" t="e">
        <f ca="1"/>
        <v>#NAME?</v>
      </c>
      <c r="N107" t="e">
        <f ca="1"/>
        <v>#NAME?</v>
      </c>
      <c r="O107" t="e">
        <f ca="1"/>
        <v>#NAME?</v>
      </c>
      <c r="P107" t="str">
        <f ca="1"/>
        <v/>
      </c>
      <c r="Q107" t="str">
        <f ca="1"/>
        <v/>
      </c>
      <c r="R107">
        <f ca="1"/>
        <v>12</v>
      </c>
      <c r="S107" t="str">
        <f ca="1"/>
        <v>ZZZZZ</v>
      </c>
      <c r="T107" t="str">
        <f ca="1"/>
        <v>ZZZZZ</v>
      </c>
      <c r="U107" t="e">
        <f ca="1"/>
        <v>#NAME?</v>
      </c>
      <c r="V107" t="e">
        <f ca="1"/>
        <v>#NAME?</v>
      </c>
      <c r="W107" t="e">
        <f ca="1"/>
        <v>#NAME?</v>
      </c>
      <c r="X107" t="e">
        <f ca="1"/>
        <v>#NAME?</v>
      </c>
      <c r="Y107" t="e" cm="1">
        <f t="array" aca="1" ref="Y107" ca="1">IF(W107&lt;&gt;"", SUMPRODUCT( (input!H:H=tipos_eqs!W107)*1 ), "")</f>
        <v>#NAME?</v>
      </c>
      <c r="Z107" t="e">
        <f ca="1"/>
        <v>#NAME?</v>
      </c>
      <c r="AC107" t="str">
        <f t="shared" ca="1" si="6"/>
        <v/>
      </c>
      <c r="AD107" t="e">
        <f t="shared" ca="1" si="7"/>
        <v>#NAME?</v>
      </c>
      <c r="AE107" t="e">
        <f t="shared" ca="1" si="5"/>
        <v>#NAME?</v>
      </c>
    </row>
    <row r="108" spans="1:31" x14ac:dyDescent="0.3">
      <c r="A108" s="26">
        <f ca="1"/>
        <v>106</v>
      </c>
      <c r="B108" s="28"/>
      <c r="C108" s="28"/>
      <c r="D108" s="31" t="str">
        <f ca="1"/>
        <v>1100</v>
      </c>
      <c r="F108">
        <f ca="1"/>
        <v>0</v>
      </c>
      <c r="G108">
        <f ca="1"/>
        <v>0</v>
      </c>
      <c r="H108" s="28" t="str">
        <f ca="1"/>
        <v>ZZZZZ@@@@@@@@@@@@@@@@@@@@@@@@@@@106</v>
      </c>
      <c r="I108" s="28" t="str">
        <f ca="1"/>
        <v>ZZZZZ@@@106</v>
      </c>
      <c r="J108" s="28" t="e">
        <f ca="1"/>
        <v>#NAME?</v>
      </c>
      <c r="K108" s="28" t="e">
        <f ca="1"/>
        <v>#NAME?</v>
      </c>
      <c r="L108" s="28" t="e">
        <f ca="1"/>
        <v>#NAME?</v>
      </c>
      <c r="M108" s="28" t="e">
        <f ca="1"/>
        <v>#NAME?</v>
      </c>
      <c r="N108" t="e">
        <f ca="1"/>
        <v>#NAME?</v>
      </c>
      <c r="O108" t="e">
        <f ca="1"/>
        <v>#NAME?</v>
      </c>
      <c r="P108" t="str">
        <f ca="1"/>
        <v/>
      </c>
      <c r="Q108" t="str">
        <f ca="1"/>
        <v/>
      </c>
      <c r="R108">
        <f ca="1"/>
        <v>12</v>
      </c>
      <c r="S108" t="str">
        <f ca="1"/>
        <v>ZZZZZ</v>
      </c>
      <c r="T108" t="str">
        <f ca="1"/>
        <v>ZZZZZ</v>
      </c>
      <c r="U108" t="e">
        <f ca="1"/>
        <v>#NAME?</v>
      </c>
      <c r="V108" t="e">
        <f ca="1"/>
        <v>#NAME?</v>
      </c>
      <c r="W108" t="e">
        <f ca="1"/>
        <v>#NAME?</v>
      </c>
      <c r="X108" t="e">
        <f ca="1"/>
        <v>#NAME?</v>
      </c>
      <c r="Y108" t="e" cm="1">
        <f t="array" aca="1" ref="Y108" ca="1">IF(W108&lt;&gt;"", SUMPRODUCT( (input!H:H=tipos_eqs!W108)*1 ), "")</f>
        <v>#NAME?</v>
      </c>
      <c r="Z108" t="e">
        <f ca="1"/>
        <v>#NAME?</v>
      </c>
      <c r="AC108" t="str">
        <f t="shared" ca="1" si="6"/>
        <v/>
      </c>
      <c r="AD108" t="e">
        <f t="shared" ca="1" si="7"/>
        <v>#NAME?</v>
      </c>
      <c r="AE108" t="e">
        <f t="shared" ca="1" si="5"/>
        <v>#NAME?</v>
      </c>
    </row>
    <row r="109" spans="1:31" x14ac:dyDescent="0.3">
      <c r="A109" s="26">
        <f ca="1"/>
        <v>107</v>
      </c>
      <c r="B109" s="28"/>
      <c r="C109" s="28"/>
      <c r="D109" s="31" t="str">
        <f ca="1"/>
        <v>1100</v>
      </c>
      <c r="F109">
        <f ca="1"/>
        <v>0</v>
      </c>
      <c r="G109">
        <f ca="1"/>
        <v>0</v>
      </c>
      <c r="H109" s="28" t="str">
        <f ca="1"/>
        <v>ZZZZZ@@@@@@@@@@@@@@@@@@@@@@@@@@@107</v>
      </c>
      <c r="I109" s="28" t="str">
        <f ca="1"/>
        <v>ZZZZZ@@@107</v>
      </c>
      <c r="J109" s="28" t="e">
        <f ca="1"/>
        <v>#NAME?</v>
      </c>
      <c r="K109" s="28" t="e">
        <f ca="1"/>
        <v>#NAME?</v>
      </c>
      <c r="L109" s="28" t="e">
        <f ca="1"/>
        <v>#NAME?</v>
      </c>
      <c r="M109" s="28" t="e">
        <f ca="1"/>
        <v>#NAME?</v>
      </c>
      <c r="N109" t="e">
        <f ca="1"/>
        <v>#NAME?</v>
      </c>
      <c r="O109" t="e">
        <f ca="1"/>
        <v>#NAME?</v>
      </c>
      <c r="P109" t="str">
        <f ca="1"/>
        <v/>
      </c>
      <c r="Q109" t="str">
        <f ca="1"/>
        <v/>
      </c>
      <c r="R109">
        <f ca="1"/>
        <v>12</v>
      </c>
      <c r="S109" t="str">
        <f ca="1"/>
        <v>ZZZZZ</v>
      </c>
      <c r="T109" t="str">
        <f ca="1"/>
        <v>ZZZZZ</v>
      </c>
      <c r="U109" t="e">
        <f ca="1"/>
        <v>#NAME?</v>
      </c>
      <c r="V109" t="e">
        <f ca="1"/>
        <v>#NAME?</v>
      </c>
      <c r="W109" t="e">
        <f ca="1"/>
        <v>#NAME?</v>
      </c>
      <c r="X109" t="e">
        <f ca="1"/>
        <v>#NAME?</v>
      </c>
      <c r="Y109" t="e" cm="1">
        <f t="array" aca="1" ref="Y109" ca="1">IF(W109&lt;&gt;"", SUMPRODUCT( (input!H:H=tipos_eqs!W109)*1 ), "")</f>
        <v>#NAME?</v>
      </c>
      <c r="Z109" t="e">
        <f ca="1"/>
        <v>#NAME?</v>
      </c>
      <c r="AC109" t="str">
        <f t="shared" ca="1" si="6"/>
        <v/>
      </c>
      <c r="AD109" t="e">
        <f t="shared" ca="1" si="7"/>
        <v>#NAME?</v>
      </c>
      <c r="AE109" t="e">
        <f t="shared" ca="1" si="5"/>
        <v>#NAME?</v>
      </c>
    </row>
    <row r="110" spans="1:31" x14ac:dyDescent="0.3">
      <c r="A110" s="26">
        <f ca="1"/>
        <v>108</v>
      </c>
      <c r="B110" s="28"/>
      <c r="C110" s="28"/>
      <c r="D110" s="31" t="str">
        <f ca="1"/>
        <v>1100</v>
      </c>
      <c r="F110">
        <f ca="1"/>
        <v>0</v>
      </c>
      <c r="G110">
        <f ca="1"/>
        <v>0</v>
      </c>
      <c r="H110" s="28" t="str">
        <f ca="1"/>
        <v>ZZZZZ@@@@@@@@@@@@@@@@@@@@@@@@@@@108</v>
      </c>
      <c r="I110" s="28" t="str">
        <f ca="1"/>
        <v>ZZZZZ@@@108</v>
      </c>
      <c r="J110" s="28" t="e">
        <f ca="1"/>
        <v>#NAME?</v>
      </c>
      <c r="K110" s="28" t="e">
        <f ca="1"/>
        <v>#NAME?</v>
      </c>
      <c r="L110" s="28" t="e">
        <f ca="1"/>
        <v>#NAME?</v>
      </c>
      <c r="M110" s="28" t="e">
        <f ca="1"/>
        <v>#NAME?</v>
      </c>
      <c r="N110" t="e">
        <f ca="1"/>
        <v>#NAME?</v>
      </c>
      <c r="O110" t="e">
        <f ca="1"/>
        <v>#NAME?</v>
      </c>
      <c r="P110" t="str">
        <f ca="1"/>
        <v/>
      </c>
      <c r="Q110" t="str">
        <f ca="1"/>
        <v/>
      </c>
      <c r="R110">
        <f ca="1"/>
        <v>12</v>
      </c>
      <c r="S110" t="str">
        <f ca="1"/>
        <v>ZZZZZ</v>
      </c>
      <c r="T110" t="str">
        <f ca="1"/>
        <v>ZZZZZ</v>
      </c>
      <c r="U110" t="e">
        <f ca="1"/>
        <v>#NAME?</v>
      </c>
      <c r="V110" t="e">
        <f ca="1"/>
        <v>#NAME?</v>
      </c>
      <c r="W110" t="e">
        <f ca="1"/>
        <v>#NAME?</v>
      </c>
      <c r="X110" t="e">
        <f ca="1"/>
        <v>#NAME?</v>
      </c>
      <c r="Y110" t="e" cm="1">
        <f t="array" aca="1" ref="Y110" ca="1">IF(W110&lt;&gt;"", SUMPRODUCT( (input!H:H=tipos_eqs!W110)*1 ), "")</f>
        <v>#NAME?</v>
      </c>
      <c r="Z110" t="e">
        <f ca="1"/>
        <v>#NAME?</v>
      </c>
      <c r="AC110" t="str">
        <f t="shared" ca="1" si="6"/>
        <v/>
      </c>
      <c r="AD110" t="e">
        <f t="shared" ca="1" si="7"/>
        <v>#NAME?</v>
      </c>
      <c r="AE110" t="e">
        <f t="shared" ca="1" si="5"/>
        <v>#NAME?</v>
      </c>
    </row>
    <row r="111" spans="1:31" x14ac:dyDescent="0.3">
      <c r="A111" s="26">
        <f ca="1"/>
        <v>109</v>
      </c>
      <c r="B111" s="28"/>
      <c r="C111" s="28"/>
      <c r="D111" s="31" t="str">
        <f ca="1"/>
        <v>1100</v>
      </c>
      <c r="F111">
        <f ca="1"/>
        <v>0</v>
      </c>
      <c r="G111">
        <f ca="1"/>
        <v>0</v>
      </c>
      <c r="H111" s="28" t="str">
        <f ca="1"/>
        <v>ZZZZZ@@@@@@@@@@@@@@@@@@@@@@@@@@@109</v>
      </c>
      <c r="I111" s="28" t="str">
        <f ca="1"/>
        <v>ZZZZZ@@@109</v>
      </c>
      <c r="J111" s="28" t="e">
        <f ca="1"/>
        <v>#NAME?</v>
      </c>
      <c r="K111" s="28" t="e">
        <f ca="1"/>
        <v>#NAME?</v>
      </c>
      <c r="L111" s="28" t="e">
        <f ca="1"/>
        <v>#NAME?</v>
      </c>
      <c r="M111" s="28" t="e">
        <f ca="1"/>
        <v>#NAME?</v>
      </c>
      <c r="N111" t="e">
        <f ca="1"/>
        <v>#NAME?</v>
      </c>
      <c r="O111" t="e">
        <f ca="1"/>
        <v>#NAME?</v>
      </c>
      <c r="P111" t="str">
        <f ca="1"/>
        <v/>
      </c>
      <c r="Q111" t="str">
        <f ca="1"/>
        <v/>
      </c>
      <c r="R111">
        <f ca="1"/>
        <v>12</v>
      </c>
      <c r="S111" t="str">
        <f ca="1"/>
        <v>ZZZZZ</v>
      </c>
      <c r="T111" t="str">
        <f ca="1"/>
        <v>ZZZZZ</v>
      </c>
      <c r="U111" t="e">
        <f ca="1"/>
        <v>#NAME?</v>
      </c>
      <c r="V111" t="e">
        <f ca="1"/>
        <v>#NAME?</v>
      </c>
      <c r="W111" t="e">
        <f ca="1"/>
        <v>#NAME?</v>
      </c>
      <c r="X111" t="e">
        <f ca="1"/>
        <v>#NAME?</v>
      </c>
      <c r="Y111" t="e" cm="1">
        <f t="array" aca="1" ref="Y111" ca="1">IF(W111&lt;&gt;"", SUMPRODUCT( (input!H:H=tipos_eqs!W111)*1 ), "")</f>
        <v>#NAME?</v>
      </c>
      <c r="Z111" t="e">
        <f ca="1"/>
        <v>#NAME?</v>
      </c>
      <c r="AC111" t="str">
        <f t="shared" ca="1" si="6"/>
        <v/>
      </c>
      <c r="AD111" t="e">
        <f t="shared" ca="1" si="7"/>
        <v>#NAME?</v>
      </c>
      <c r="AE111" t="e">
        <f t="shared" ca="1" si="5"/>
        <v>#NAME?</v>
      </c>
    </row>
    <row r="112" spans="1:31" x14ac:dyDescent="0.3">
      <c r="A112" s="26">
        <f ca="1"/>
        <v>110</v>
      </c>
      <c r="B112" s="28"/>
      <c r="C112" s="28"/>
      <c r="D112" s="31" t="str">
        <f ca="1"/>
        <v>1100</v>
      </c>
      <c r="F112">
        <f ca="1"/>
        <v>0</v>
      </c>
      <c r="G112">
        <f ca="1"/>
        <v>0</v>
      </c>
      <c r="H112" s="28" t="str">
        <f ca="1"/>
        <v>ZZZZZ@@@@@@@@@@@@@@@@@@@@@@@@@@@110</v>
      </c>
      <c r="I112" s="28" t="str">
        <f ca="1"/>
        <v>ZZZZZ@@@110</v>
      </c>
      <c r="J112" s="28" t="e">
        <f ca="1"/>
        <v>#NAME?</v>
      </c>
      <c r="K112" s="28" t="e">
        <f ca="1"/>
        <v>#NAME?</v>
      </c>
      <c r="L112" s="28" t="e">
        <f ca="1"/>
        <v>#NAME?</v>
      </c>
      <c r="M112" s="28" t="e">
        <f ca="1"/>
        <v>#NAME?</v>
      </c>
      <c r="N112" t="e">
        <f ca="1"/>
        <v>#NAME?</v>
      </c>
      <c r="O112" t="e">
        <f ca="1"/>
        <v>#NAME?</v>
      </c>
      <c r="P112" t="str">
        <f ca="1"/>
        <v/>
      </c>
      <c r="Q112" t="str">
        <f ca="1"/>
        <v/>
      </c>
      <c r="R112">
        <f ca="1"/>
        <v>12</v>
      </c>
      <c r="S112" t="str">
        <f ca="1"/>
        <v>ZZZZZ</v>
      </c>
      <c r="T112" t="str">
        <f ca="1"/>
        <v>ZZZZZ</v>
      </c>
      <c r="U112" t="e">
        <f ca="1"/>
        <v>#NAME?</v>
      </c>
      <c r="V112" t="e">
        <f ca="1"/>
        <v>#NAME?</v>
      </c>
      <c r="W112" t="e">
        <f ca="1"/>
        <v>#NAME?</v>
      </c>
      <c r="X112" t="e">
        <f ca="1"/>
        <v>#NAME?</v>
      </c>
      <c r="Y112" t="e" cm="1">
        <f t="array" aca="1" ref="Y112" ca="1">IF(W112&lt;&gt;"", SUMPRODUCT( (input!H:H=tipos_eqs!W112)*1 ), "")</f>
        <v>#NAME?</v>
      </c>
      <c r="Z112" t="e">
        <f ca="1"/>
        <v>#NAME?</v>
      </c>
      <c r="AC112" t="str">
        <f t="shared" ca="1" si="6"/>
        <v/>
      </c>
      <c r="AD112" t="e">
        <f t="shared" ca="1" si="7"/>
        <v>#NAME?</v>
      </c>
      <c r="AE112" t="e">
        <f t="shared" ca="1" si="5"/>
        <v>#NAME?</v>
      </c>
    </row>
    <row r="113" spans="1:31" x14ac:dyDescent="0.3">
      <c r="A113" s="26">
        <f ca="1"/>
        <v>111</v>
      </c>
      <c r="B113" s="28"/>
      <c r="C113" s="28"/>
      <c r="D113" s="31" t="str">
        <f ca="1"/>
        <v>1100</v>
      </c>
      <c r="F113">
        <f ca="1"/>
        <v>0</v>
      </c>
      <c r="G113">
        <f ca="1"/>
        <v>0</v>
      </c>
      <c r="H113" s="28" t="str">
        <f ca="1"/>
        <v>ZZZZZ@@@@@@@@@@@@@@@@@@@@@@@@@@@111</v>
      </c>
      <c r="I113" s="28" t="str">
        <f ca="1"/>
        <v>ZZZZZ@@@111</v>
      </c>
      <c r="J113" s="28" t="e">
        <f ca="1"/>
        <v>#NAME?</v>
      </c>
      <c r="K113" s="28" t="e">
        <f ca="1"/>
        <v>#NAME?</v>
      </c>
      <c r="L113" s="28" t="e">
        <f ca="1"/>
        <v>#NAME?</v>
      </c>
      <c r="M113" s="28" t="e">
        <f ca="1"/>
        <v>#NAME?</v>
      </c>
      <c r="N113" t="e">
        <f ca="1"/>
        <v>#NAME?</v>
      </c>
      <c r="O113" t="e">
        <f ca="1"/>
        <v>#NAME?</v>
      </c>
      <c r="P113" t="str">
        <f ca="1"/>
        <v/>
      </c>
      <c r="Q113" t="str">
        <f ca="1"/>
        <v/>
      </c>
      <c r="R113">
        <f ca="1"/>
        <v>12</v>
      </c>
      <c r="S113" t="str">
        <f ca="1"/>
        <v>ZZZZZ</v>
      </c>
      <c r="T113" t="str">
        <f ca="1"/>
        <v>ZZZZZ</v>
      </c>
      <c r="U113" t="e">
        <f ca="1"/>
        <v>#NAME?</v>
      </c>
      <c r="V113" t="e">
        <f ca="1"/>
        <v>#NAME?</v>
      </c>
      <c r="W113" t="e">
        <f ca="1"/>
        <v>#NAME?</v>
      </c>
      <c r="X113" t="e">
        <f ca="1"/>
        <v>#NAME?</v>
      </c>
      <c r="Y113" t="e" cm="1">
        <f t="array" aca="1" ref="Y113" ca="1">IF(W113&lt;&gt;"", SUMPRODUCT( (input!H:H=tipos_eqs!W113)*1 ), "")</f>
        <v>#NAME?</v>
      </c>
      <c r="Z113" t="e">
        <f ca="1"/>
        <v>#NAME?</v>
      </c>
      <c r="AC113" t="str">
        <f t="shared" ca="1" si="6"/>
        <v/>
      </c>
      <c r="AD113" t="e">
        <f t="shared" ca="1" si="7"/>
        <v>#NAME?</v>
      </c>
      <c r="AE113" t="e">
        <f t="shared" ca="1" si="5"/>
        <v>#NAME?</v>
      </c>
    </row>
    <row r="114" spans="1:31" x14ac:dyDescent="0.3">
      <c r="A114" s="26">
        <f ca="1"/>
        <v>112</v>
      </c>
      <c r="B114" s="28"/>
      <c r="C114" s="28"/>
      <c r="D114" s="31" t="str">
        <f ca="1"/>
        <v>1100</v>
      </c>
      <c r="F114">
        <f ca="1"/>
        <v>0</v>
      </c>
      <c r="G114">
        <f ca="1"/>
        <v>0</v>
      </c>
      <c r="H114" s="28" t="str">
        <f ca="1"/>
        <v>ZZZZZ@@@@@@@@@@@@@@@@@@@@@@@@@@@112</v>
      </c>
      <c r="I114" s="28" t="str">
        <f ca="1"/>
        <v>ZZZZZ@@@112</v>
      </c>
      <c r="J114" s="28" t="e">
        <f ca="1"/>
        <v>#NAME?</v>
      </c>
      <c r="K114" s="28" t="e">
        <f ca="1"/>
        <v>#NAME?</v>
      </c>
      <c r="L114" s="28" t="e">
        <f ca="1"/>
        <v>#NAME?</v>
      </c>
      <c r="M114" s="28" t="e">
        <f ca="1"/>
        <v>#NAME?</v>
      </c>
      <c r="N114" t="e">
        <f ca="1"/>
        <v>#NAME?</v>
      </c>
      <c r="O114" t="e">
        <f ca="1"/>
        <v>#NAME?</v>
      </c>
      <c r="P114" t="str">
        <f ca="1"/>
        <v/>
      </c>
      <c r="Q114" t="str">
        <f ca="1"/>
        <v/>
      </c>
      <c r="R114">
        <f ca="1"/>
        <v>12</v>
      </c>
      <c r="S114" t="str">
        <f ca="1"/>
        <v>ZZZZZ</v>
      </c>
      <c r="T114" t="str">
        <f ca="1"/>
        <v>ZZZZZ</v>
      </c>
      <c r="U114" t="e">
        <f ca="1"/>
        <v>#NAME?</v>
      </c>
      <c r="V114" t="e">
        <f ca="1"/>
        <v>#NAME?</v>
      </c>
      <c r="W114" t="e">
        <f ca="1"/>
        <v>#NAME?</v>
      </c>
      <c r="X114" t="e">
        <f ca="1"/>
        <v>#NAME?</v>
      </c>
      <c r="Y114" t="e" cm="1">
        <f t="array" aca="1" ref="Y114" ca="1">IF(W114&lt;&gt;"", SUMPRODUCT( (input!H:H=tipos_eqs!W114)*1 ), "")</f>
        <v>#NAME?</v>
      </c>
      <c r="Z114" t="e">
        <f ca="1"/>
        <v>#NAME?</v>
      </c>
      <c r="AC114" t="str">
        <f t="shared" ca="1" si="6"/>
        <v/>
      </c>
      <c r="AD114" t="e">
        <f t="shared" ca="1" si="7"/>
        <v>#NAME?</v>
      </c>
      <c r="AE114" t="e">
        <f t="shared" ca="1" si="5"/>
        <v>#NAME?</v>
      </c>
    </row>
    <row r="115" spans="1:31" x14ac:dyDescent="0.3">
      <c r="A115" s="26">
        <f ca="1"/>
        <v>113</v>
      </c>
      <c r="B115" s="28"/>
      <c r="C115" s="28"/>
      <c r="D115" s="31" t="str">
        <f ca="1"/>
        <v>1100</v>
      </c>
      <c r="F115">
        <f ca="1"/>
        <v>0</v>
      </c>
      <c r="G115">
        <f ca="1"/>
        <v>0</v>
      </c>
      <c r="H115" s="28" t="str">
        <f ca="1"/>
        <v>ZZZZZ@@@@@@@@@@@@@@@@@@@@@@@@@@@113</v>
      </c>
      <c r="I115" s="28" t="str">
        <f ca="1"/>
        <v>ZZZZZ@@@113</v>
      </c>
      <c r="J115" s="28" t="e">
        <f ca="1"/>
        <v>#NAME?</v>
      </c>
      <c r="K115" s="28" t="e">
        <f ca="1"/>
        <v>#NAME?</v>
      </c>
      <c r="L115" s="28" t="e">
        <f ca="1"/>
        <v>#NAME?</v>
      </c>
      <c r="M115" s="28" t="e">
        <f ca="1"/>
        <v>#NAME?</v>
      </c>
      <c r="N115" t="e">
        <f ca="1"/>
        <v>#NAME?</v>
      </c>
      <c r="O115" t="e">
        <f ca="1"/>
        <v>#NAME?</v>
      </c>
      <c r="P115" t="str">
        <f ca="1"/>
        <v/>
      </c>
      <c r="Q115" t="str">
        <f ca="1"/>
        <v/>
      </c>
      <c r="R115">
        <f ca="1"/>
        <v>12</v>
      </c>
      <c r="S115" t="str">
        <f ca="1"/>
        <v>ZZZZZ</v>
      </c>
      <c r="T115" t="str">
        <f ca="1"/>
        <v>ZZZZZ</v>
      </c>
      <c r="U115" t="e">
        <f ca="1"/>
        <v>#NAME?</v>
      </c>
      <c r="V115" t="e">
        <f ca="1"/>
        <v>#NAME?</v>
      </c>
      <c r="W115" t="e">
        <f ca="1"/>
        <v>#NAME?</v>
      </c>
      <c r="X115" t="e">
        <f ca="1"/>
        <v>#NAME?</v>
      </c>
      <c r="Y115" t="e" cm="1">
        <f t="array" aca="1" ref="Y115" ca="1">IF(W115&lt;&gt;"", SUMPRODUCT( (input!H:H=tipos_eqs!W115)*1 ), "")</f>
        <v>#NAME?</v>
      </c>
      <c r="Z115" t="e">
        <f ca="1"/>
        <v>#NAME?</v>
      </c>
      <c r="AC115" t="str">
        <f t="shared" ca="1" si="6"/>
        <v/>
      </c>
      <c r="AD115" t="e">
        <f t="shared" ca="1" si="7"/>
        <v>#NAME?</v>
      </c>
      <c r="AE115" t="e">
        <f t="shared" ca="1" si="5"/>
        <v>#NAME?</v>
      </c>
    </row>
    <row r="116" spans="1:31" x14ac:dyDescent="0.3">
      <c r="A116" s="26">
        <f ca="1"/>
        <v>114</v>
      </c>
      <c r="B116" s="28"/>
      <c r="C116" s="28"/>
      <c r="D116" s="31" t="str">
        <f ca="1"/>
        <v>1100</v>
      </c>
      <c r="F116">
        <f ca="1"/>
        <v>0</v>
      </c>
      <c r="G116">
        <f ca="1"/>
        <v>0</v>
      </c>
      <c r="H116" s="28" t="str">
        <f ca="1"/>
        <v>ZZZZZ@@@@@@@@@@@@@@@@@@@@@@@@@@@114</v>
      </c>
      <c r="I116" s="28" t="str">
        <f ca="1"/>
        <v>ZZZZZ@@@114</v>
      </c>
      <c r="J116" s="28" t="e">
        <f ca="1"/>
        <v>#NAME?</v>
      </c>
      <c r="K116" s="28" t="e">
        <f ca="1"/>
        <v>#NAME?</v>
      </c>
      <c r="L116" s="28" t="e">
        <f ca="1"/>
        <v>#NAME?</v>
      </c>
      <c r="M116" s="28" t="e">
        <f ca="1"/>
        <v>#NAME?</v>
      </c>
      <c r="N116" t="e">
        <f ca="1"/>
        <v>#NAME?</v>
      </c>
      <c r="O116" t="e">
        <f ca="1"/>
        <v>#NAME?</v>
      </c>
      <c r="P116" t="str">
        <f ca="1"/>
        <v/>
      </c>
      <c r="Q116" t="str">
        <f ca="1"/>
        <v/>
      </c>
      <c r="R116">
        <f ca="1"/>
        <v>12</v>
      </c>
      <c r="S116" t="str">
        <f ca="1"/>
        <v>ZZZZZ</v>
      </c>
      <c r="T116" t="str">
        <f ca="1"/>
        <v>ZZZZZ</v>
      </c>
      <c r="U116" t="e">
        <f ca="1"/>
        <v>#NAME?</v>
      </c>
      <c r="V116" t="e">
        <f ca="1"/>
        <v>#NAME?</v>
      </c>
      <c r="W116" t="e">
        <f ca="1"/>
        <v>#NAME?</v>
      </c>
      <c r="X116" t="e">
        <f ca="1"/>
        <v>#NAME?</v>
      </c>
      <c r="Y116" t="e" cm="1">
        <f t="array" aca="1" ref="Y116" ca="1">IF(W116&lt;&gt;"", SUMPRODUCT( (input!H:H=tipos_eqs!W116)*1 ), "")</f>
        <v>#NAME?</v>
      </c>
      <c r="Z116" t="e">
        <f ca="1"/>
        <v>#NAME?</v>
      </c>
      <c r="AC116" t="str">
        <f t="shared" ca="1" si="6"/>
        <v/>
      </c>
      <c r="AD116" t="e">
        <f t="shared" ca="1" si="7"/>
        <v>#NAME?</v>
      </c>
      <c r="AE116" t="e">
        <f t="shared" ca="1" si="5"/>
        <v>#NAME?</v>
      </c>
    </row>
    <row r="117" spans="1:31" x14ac:dyDescent="0.3">
      <c r="A117" s="26">
        <f ca="1"/>
        <v>115</v>
      </c>
      <c r="B117" s="28"/>
      <c r="C117" s="28"/>
      <c r="D117" s="31" t="str">
        <f ca="1"/>
        <v>1100</v>
      </c>
      <c r="F117">
        <f ca="1"/>
        <v>0</v>
      </c>
      <c r="G117">
        <f ca="1"/>
        <v>0</v>
      </c>
      <c r="H117" s="28" t="str">
        <f ca="1"/>
        <v>ZZZZZ@@@@@@@@@@@@@@@@@@@@@@@@@@@115</v>
      </c>
      <c r="I117" s="28" t="str">
        <f ca="1"/>
        <v>ZZZZZ@@@115</v>
      </c>
      <c r="J117" s="28" t="e">
        <f ca="1"/>
        <v>#NAME?</v>
      </c>
      <c r="K117" s="28" t="e">
        <f ca="1"/>
        <v>#NAME?</v>
      </c>
      <c r="L117" s="28" t="e">
        <f ca="1"/>
        <v>#NAME?</v>
      </c>
      <c r="M117" s="28" t="e">
        <f ca="1"/>
        <v>#NAME?</v>
      </c>
      <c r="N117" t="e">
        <f ca="1"/>
        <v>#NAME?</v>
      </c>
      <c r="O117" t="e">
        <f ca="1"/>
        <v>#NAME?</v>
      </c>
      <c r="P117" t="str">
        <f ca="1"/>
        <v/>
      </c>
      <c r="Q117" t="str">
        <f ca="1"/>
        <v/>
      </c>
      <c r="R117">
        <f ca="1"/>
        <v>12</v>
      </c>
      <c r="S117" t="str">
        <f ca="1"/>
        <v>ZZZZZ</v>
      </c>
      <c r="T117" t="str">
        <f ca="1"/>
        <v>ZZZZZ</v>
      </c>
      <c r="U117" t="e">
        <f ca="1"/>
        <v>#NAME?</v>
      </c>
      <c r="V117" t="e">
        <f ca="1"/>
        <v>#NAME?</v>
      </c>
      <c r="W117" t="e">
        <f ca="1"/>
        <v>#NAME?</v>
      </c>
      <c r="X117" t="e">
        <f ca="1"/>
        <v>#NAME?</v>
      </c>
      <c r="Y117" t="e" cm="1">
        <f t="array" aca="1" ref="Y117" ca="1">IF(W117&lt;&gt;"", SUMPRODUCT( (input!H:H=tipos_eqs!W117)*1 ), "")</f>
        <v>#NAME?</v>
      </c>
      <c r="Z117" t="e">
        <f ca="1"/>
        <v>#NAME?</v>
      </c>
      <c r="AC117" t="str">
        <f t="shared" ca="1" si="6"/>
        <v/>
      </c>
      <c r="AD117" t="e">
        <f t="shared" ca="1" si="7"/>
        <v>#NAME?</v>
      </c>
      <c r="AE117" t="e">
        <f t="shared" ca="1" si="5"/>
        <v>#NAME?</v>
      </c>
    </row>
    <row r="118" spans="1:31" x14ac:dyDescent="0.3">
      <c r="A118" s="26">
        <f ca="1"/>
        <v>116</v>
      </c>
      <c r="B118" s="28"/>
      <c r="C118" s="28"/>
      <c r="D118" s="31" t="str">
        <f ca="1"/>
        <v>1100</v>
      </c>
      <c r="F118">
        <f ca="1"/>
        <v>0</v>
      </c>
      <c r="G118">
        <f ca="1"/>
        <v>0</v>
      </c>
      <c r="H118" s="28" t="str">
        <f ca="1"/>
        <v>ZZZZZ@@@@@@@@@@@@@@@@@@@@@@@@@@@116</v>
      </c>
      <c r="I118" s="28" t="str">
        <f ca="1"/>
        <v>ZZZZZ@@@116</v>
      </c>
      <c r="J118" s="28" t="e">
        <f ca="1"/>
        <v>#NAME?</v>
      </c>
      <c r="K118" s="28" t="e">
        <f ca="1"/>
        <v>#NAME?</v>
      </c>
      <c r="L118" s="28" t="e">
        <f ca="1"/>
        <v>#NAME?</v>
      </c>
      <c r="M118" s="28" t="e">
        <f ca="1"/>
        <v>#NAME?</v>
      </c>
      <c r="N118" t="e">
        <f ca="1"/>
        <v>#NAME?</v>
      </c>
      <c r="O118" t="e">
        <f ca="1"/>
        <v>#NAME?</v>
      </c>
      <c r="P118" t="str">
        <f ca="1"/>
        <v/>
      </c>
      <c r="Q118" t="str">
        <f ca="1"/>
        <v/>
      </c>
      <c r="R118">
        <f ca="1"/>
        <v>12</v>
      </c>
      <c r="S118" t="str">
        <f ca="1"/>
        <v>ZZZZZ</v>
      </c>
      <c r="T118" t="str">
        <f ca="1"/>
        <v>ZZZZZ</v>
      </c>
      <c r="U118" t="e">
        <f ca="1"/>
        <v>#NAME?</v>
      </c>
      <c r="V118" t="e">
        <f ca="1"/>
        <v>#NAME?</v>
      </c>
      <c r="W118" t="e">
        <f ca="1"/>
        <v>#NAME?</v>
      </c>
      <c r="X118" t="e">
        <f ca="1"/>
        <v>#NAME?</v>
      </c>
      <c r="Y118" t="e" cm="1">
        <f t="array" aca="1" ref="Y118" ca="1">IF(W118&lt;&gt;"", SUMPRODUCT( (input!H:H=tipos_eqs!W118)*1 ), "")</f>
        <v>#NAME?</v>
      </c>
      <c r="Z118" t="e">
        <f ca="1"/>
        <v>#NAME?</v>
      </c>
      <c r="AC118" t="str">
        <f t="shared" ca="1" si="6"/>
        <v/>
      </c>
      <c r="AD118" t="e">
        <f t="shared" ca="1" si="7"/>
        <v>#NAME?</v>
      </c>
      <c r="AE118" t="e">
        <f t="shared" ca="1" si="5"/>
        <v>#NAME?</v>
      </c>
    </row>
    <row r="119" spans="1:31" x14ac:dyDescent="0.3">
      <c r="A119" s="26">
        <f ca="1"/>
        <v>117</v>
      </c>
      <c r="B119" s="28"/>
      <c r="C119" s="28"/>
      <c r="D119" s="31" t="str">
        <f ca="1"/>
        <v>1100</v>
      </c>
      <c r="F119">
        <f ca="1"/>
        <v>0</v>
      </c>
      <c r="G119">
        <f ca="1"/>
        <v>0</v>
      </c>
      <c r="H119" s="28" t="str">
        <f ca="1"/>
        <v>ZZZZZ@@@@@@@@@@@@@@@@@@@@@@@@@@@117</v>
      </c>
      <c r="I119" s="28" t="str">
        <f ca="1"/>
        <v>ZZZZZ@@@117</v>
      </c>
      <c r="J119" s="28" t="e">
        <f ca="1"/>
        <v>#NAME?</v>
      </c>
      <c r="K119" s="28" t="e">
        <f ca="1"/>
        <v>#NAME?</v>
      </c>
      <c r="L119" s="28" t="e">
        <f ca="1"/>
        <v>#NAME?</v>
      </c>
      <c r="M119" s="28" t="e">
        <f ca="1"/>
        <v>#NAME?</v>
      </c>
      <c r="N119" t="e">
        <f ca="1"/>
        <v>#NAME?</v>
      </c>
      <c r="O119" t="e">
        <f ca="1"/>
        <v>#NAME?</v>
      </c>
      <c r="P119" t="str">
        <f ca="1"/>
        <v/>
      </c>
      <c r="Q119" t="str">
        <f ca="1"/>
        <v/>
      </c>
      <c r="R119">
        <f ca="1"/>
        <v>12</v>
      </c>
      <c r="S119" t="str">
        <f ca="1"/>
        <v>ZZZZZ</v>
      </c>
      <c r="T119" t="str">
        <f ca="1"/>
        <v>ZZZZZ</v>
      </c>
      <c r="U119" t="e">
        <f ca="1"/>
        <v>#NAME?</v>
      </c>
      <c r="V119" t="e">
        <f ca="1"/>
        <v>#NAME?</v>
      </c>
      <c r="W119" t="e">
        <f ca="1"/>
        <v>#NAME?</v>
      </c>
      <c r="X119" t="e">
        <f ca="1"/>
        <v>#NAME?</v>
      </c>
      <c r="Y119" t="e" cm="1">
        <f t="array" aca="1" ref="Y119" ca="1">IF(W119&lt;&gt;"", SUMPRODUCT( (input!H:H=tipos_eqs!W119)*1 ), "")</f>
        <v>#NAME?</v>
      </c>
      <c r="Z119" t="e">
        <f ca="1"/>
        <v>#NAME?</v>
      </c>
      <c r="AC119" t="str">
        <f t="shared" ca="1" si="6"/>
        <v/>
      </c>
      <c r="AD119" t="e">
        <f t="shared" ca="1" si="7"/>
        <v>#NAME?</v>
      </c>
      <c r="AE119" t="e">
        <f t="shared" ca="1" si="5"/>
        <v>#NAME?</v>
      </c>
    </row>
    <row r="120" spans="1:31" x14ac:dyDescent="0.3">
      <c r="A120" s="26">
        <f ca="1"/>
        <v>118</v>
      </c>
      <c r="B120" s="28"/>
      <c r="C120" s="28"/>
      <c r="D120" s="31" t="str">
        <f ca="1"/>
        <v>1100</v>
      </c>
      <c r="F120">
        <f ca="1"/>
        <v>0</v>
      </c>
      <c r="G120">
        <f ca="1"/>
        <v>0</v>
      </c>
      <c r="H120" s="28" t="str">
        <f ca="1"/>
        <v>ZZZZZ@@@@@@@@@@@@@@@@@@@@@@@@@@@118</v>
      </c>
      <c r="I120" s="28" t="str">
        <f ca="1"/>
        <v>ZZZZZ@@@118</v>
      </c>
      <c r="J120" s="28" t="e">
        <f ca="1"/>
        <v>#NAME?</v>
      </c>
      <c r="K120" s="28" t="e">
        <f ca="1"/>
        <v>#NAME?</v>
      </c>
      <c r="L120" s="28" t="e">
        <f ca="1"/>
        <v>#NAME?</v>
      </c>
      <c r="M120" s="28" t="e">
        <f ca="1"/>
        <v>#NAME?</v>
      </c>
      <c r="N120" t="e">
        <f ca="1"/>
        <v>#NAME?</v>
      </c>
      <c r="O120" t="e">
        <f ca="1"/>
        <v>#NAME?</v>
      </c>
      <c r="P120" t="str">
        <f ca="1"/>
        <v/>
      </c>
      <c r="Q120" t="str">
        <f ca="1"/>
        <v/>
      </c>
      <c r="R120">
        <f ca="1"/>
        <v>12</v>
      </c>
      <c r="S120" t="str">
        <f ca="1"/>
        <v>ZZZZZ</v>
      </c>
      <c r="T120" t="str">
        <f ca="1"/>
        <v>ZZZZZ</v>
      </c>
      <c r="U120" t="e">
        <f ca="1"/>
        <v>#NAME?</v>
      </c>
      <c r="V120" t="e">
        <f ca="1"/>
        <v>#NAME?</v>
      </c>
      <c r="W120" t="e">
        <f ca="1"/>
        <v>#NAME?</v>
      </c>
      <c r="X120" t="e">
        <f ca="1"/>
        <v>#NAME?</v>
      </c>
      <c r="Y120" t="e" cm="1">
        <f t="array" aca="1" ref="Y120" ca="1">IF(W120&lt;&gt;"", SUMPRODUCT( (input!H:H=tipos_eqs!W120)*1 ), "")</f>
        <v>#NAME?</v>
      </c>
      <c r="Z120" t="e">
        <f ca="1"/>
        <v>#NAME?</v>
      </c>
      <c r="AC120" t="str">
        <f t="shared" ca="1" si="6"/>
        <v/>
      </c>
      <c r="AD120" t="e">
        <f t="shared" ca="1" si="7"/>
        <v>#NAME?</v>
      </c>
      <c r="AE120" t="e">
        <f t="shared" ca="1" si="5"/>
        <v>#NAME?</v>
      </c>
    </row>
    <row r="121" spans="1:31" x14ac:dyDescent="0.3">
      <c r="A121" s="26">
        <f ca="1"/>
        <v>119</v>
      </c>
      <c r="B121" s="28"/>
      <c r="C121" s="28"/>
      <c r="D121" s="31" t="str">
        <f ca="1"/>
        <v>1100</v>
      </c>
      <c r="F121">
        <f ca="1"/>
        <v>0</v>
      </c>
      <c r="G121">
        <f ca="1"/>
        <v>0</v>
      </c>
      <c r="H121" s="28" t="str">
        <f ca="1"/>
        <v>ZZZZZ@@@@@@@@@@@@@@@@@@@@@@@@@@@119</v>
      </c>
      <c r="I121" s="28" t="str">
        <f ca="1"/>
        <v>ZZZZZ@@@119</v>
      </c>
      <c r="J121" s="28" t="e">
        <f ca="1"/>
        <v>#NAME?</v>
      </c>
      <c r="K121" s="28" t="e">
        <f ca="1"/>
        <v>#NAME?</v>
      </c>
      <c r="L121" s="28" t="e">
        <f ca="1"/>
        <v>#NAME?</v>
      </c>
      <c r="M121" s="28" t="e">
        <f ca="1"/>
        <v>#NAME?</v>
      </c>
      <c r="N121" t="e">
        <f ca="1"/>
        <v>#NAME?</v>
      </c>
      <c r="O121" t="e">
        <f ca="1"/>
        <v>#NAME?</v>
      </c>
      <c r="P121" t="str">
        <f ca="1"/>
        <v/>
      </c>
      <c r="Q121" t="str">
        <f ca="1"/>
        <v/>
      </c>
      <c r="R121">
        <f ca="1"/>
        <v>12</v>
      </c>
      <c r="S121" t="str">
        <f ca="1"/>
        <v>ZZZZZ</v>
      </c>
      <c r="T121" t="str">
        <f ca="1"/>
        <v>ZZZZZ</v>
      </c>
      <c r="U121" t="e">
        <f ca="1"/>
        <v>#NAME?</v>
      </c>
      <c r="V121" t="e">
        <f ca="1"/>
        <v>#NAME?</v>
      </c>
      <c r="W121" t="e">
        <f ca="1"/>
        <v>#NAME?</v>
      </c>
      <c r="X121" t="e">
        <f ca="1"/>
        <v>#NAME?</v>
      </c>
      <c r="Y121" t="e" cm="1">
        <f t="array" aca="1" ref="Y121" ca="1">IF(W121&lt;&gt;"", SUMPRODUCT( (input!H:H=tipos_eqs!W121)*1 ), "")</f>
        <v>#NAME?</v>
      </c>
      <c r="Z121" t="e">
        <f ca="1"/>
        <v>#NAME?</v>
      </c>
      <c r="AC121" t="str">
        <f t="shared" ca="1" si="6"/>
        <v/>
      </c>
      <c r="AD121" t="e">
        <f t="shared" ca="1" si="7"/>
        <v>#NAME?</v>
      </c>
      <c r="AE121" t="e">
        <f t="shared" ca="1" si="5"/>
        <v>#NAME?</v>
      </c>
    </row>
    <row r="122" spans="1:31" x14ac:dyDescent="0.3">
      <c r="A122" s="26">
        <f ca="1"/>
        <v>120</v>
      </c>
      <c r="B122" s="28"/>
      <c r="C122" s="28"/>
      <c r="D122" s="31" t="str">
        <f ca="1"/>
        <v>1100</v>
      </c>
      <c r="F122">
        <f ca="1"/>
        <v>0</v>
      </c>
      <c r="G122">
        <f ca="1"/>
        <v>0</v>
      </c>
      <c r="H122" s="28" t="str">
        <f ca="1"/>
        <v>ZZZZZ@@@@@@@@@@@@@@@@@@@@@@@@@@@120</v>
      </c>
      <c r="I122" s="28" t="str">
        <f ca="1"/>
        <v>ZZZZZ@@@120</v>
      </c>
      <c r="J122" s="28" t="e">
        <f ca="1"/>
        <v>#NAME?</v>
      </c>
      <c r="K122" s="28" t="e">
        <f ca="1"/>
        <v>#NAME?</v>
      </c>
      <c r="L122" s="28" t="e">
        <f ca="1"/>
        <v>#NAME?</v>
      </c>
      <c r="M122" s="28" t="e">
        <f ca="1"/>
        <v>#NAME?</v>
      </c>
      <c r="N122" t="e">
        <f ca="1"/>
        <v>#NAME?</v>
      </c>
      <c r="O122" t="e">
        <f ca="1"/>
        <v>#NAME?</v>
      </c>
      <c r="P122" t="str">
        <f ca="1"/>
        <v/>
      </c>
      <c r="Q122" t="str">
        <f ca="1"/>
        <v/>
      </c>
      <c r="R122">
        <f ca="1"/>
        <v>12</v>
      </c>
      <c r="S122" t="str">
        <f ca="1"/>
        <v>ZZZZZ</v>
      </c>
      <c r="T122" t="str">
        <f ca="1"/>
        <v>ZZZZZ</v>
      </c>
      <c r="U122" t="e">
        <f ca="1"/>
        <v>#NAME?</v>
      </c>
      <c r="V122" t="e">
        <f ca="1"/>
        <v>#NAME?</v>
      </c>
      <c r="W122" t="e">
        <f ca="1"/>
        <v>#NAME?</v>
      </c>
      <c r="X122" t="e">
        <f ca="1"/>
        <v>#NAME?</v>
      </c>
      <c r="Y122" t="e" cm="1">
        <f t="array" aca="1" ref="Y122" ca="1">IF(W122&lt;&gt;"", SUMPRODUCT( (input!H:H=tipos_eqs!W122)*1 ), "")</f>
        <v>#NAME?</v>
      </c>
      <c r="Z122" t="e">
        <f ca="1"/>
        <v>#NAME?</v>
      </c>
      <c r="AC122" t="str">
        <f t="shared" ca="1" si="6"/>
        <v/>
      </c>
      <c r="AD122" t="e">
        <f t="shared" ca="1" si="7"/>
        <v>#NAME?</v>
      </c>
      <c r="AE122" t="e">
        <f t="shared" ca="1" si="5"/>
        <v>#NAME?</v>
      </c>
    </row>
    <row r="123" spans="1:31" x14ac:dyDescent="0.3">
      <c r="A123" s="26">
        <f ca="1"/>
        <v>121</v>
      </c>
      <c r="B123" s="28"/>
      <c r="C123" s="28"/>
      <c r="D123" s="31" t="str">
        <f ca="1"/>
        <v>1100</v>
      </c>
      <c r="F123">
        <f ca="1"/>
        <v>0</v>
      </c>
      <c r="G123">
        <f ca="1"/>
        <v>0</v>
      </c>
      <c r="H123" s="28" t="str">
        <f ca="1"/>
        <v>ZZZZZ@@@@@@@@@@@@@@@@@@@@@@@@@@@121</v>
      </c>
      <c r="I123" s="28" t="str">
        <f ca="1"/>
        <v>ZZZZZ@@@121</v>
      </c>
      <c r="J123" s="28" t="e">
        <f ca="1"/>
        <v>#NAME?</v>
      </c>
      <c r="K123" s="28" t="e">
        <f ca="1"/>
        <v>#NAME?</v>
      </c>
      <c r="L123" s="28" t="e">
        <f ca="1"/>
        <v>#NAME?</v>
      </c>
      <c r="M123" s="28" t="e">
        <f ca="1"/>
        <v>#NAME?</v>
      </c>
      <c r="N123" t="e">
        <f ca="1"/>
        <v>#NAME?</v>
      </c>
      <c r="O123" t="e">
        <f ca="1"/>
        <v>#NAME?</v>
      </c>
      <c r="P123" t="str">
        <f ca="1"/>
        <v/>
      </c>
      <c r="Q123" t="str">
        <f ca="1"/>
        <v/>
      </c>
      <c r="R123">
        <f ca="1"/>
        <v>12</v>
      </c>
      <c r="S123" t="str">
        <f ca="1"/>
        <v>ZZZZZ</v>
      </c>
      <c r="T123" t="str">
        <f ca="1"/>
        <v>ZZZZZ</v>
      </c>
      <c r="U123" t="e">
        <f ca="1"/>
        <v>#NAME?</v>
      </c>
      <c r="V123" t="e">
        <f ca="1"/>
        <v>#NAME?</v>
      </c>
      <c r="W123" t="e">
        <f ca="1"/>
        <v>#NAME?</v>
      </c>
      <c r="X123" t="e">
        <f ca="1"/>
        <v>#NAME?</v>
      </c>
      <c r="Y123" t="e" cm="1">
        <f t="array" aca="1" ref="Y123" ca="1">IF(W123&lt;&gt;"", SUMPRODUCT( (input!H:H=tipos_eqs!W123)*1 ), "")</f>
        <v>#NAME?</v>
      </c>
      <c r="Z123" t="e">
        <f ca="1"/>
        <v>#NAME?</v>
      </c>
      <c r="AC123" t="str">
        <f t="shared" ca="1" si="6"/>
        <v/>
      </c>
      <c r="AD123" t="e">
        <f t="shared" ca="1" si="7"/>
        <v>#NAME?</v>
      </c>
      <c r="AE123" t="e">
        <f t="shared" ca="1" si="5"/>
        <v>#NAME?</v>
      </c>
    </row>
    <row r="124" spans="1:31" x14ac:dyDescent="0.3">
      <c r="A124" s="26">
        <f ca="1"/>
        <v>122</v>
      </c>
      <c r="B124" s="28"/>
      <c r="C124" s="28"/>
      <c r="D124" s="31" t="str">
        <f ca="1"/>
        <v>1100</v>
      </c>
      <c r="F124">
        <f ca="1"/>
        <v>0</v>
      </c>
      <c r="G124">
        <f ca="1"/>
        <v>0</v>
      </c>
      <c r="H124" s="28" t="str">
        <f ca="1"/>
        <v>ZZZZZ@@@@@@@@@@@@@@@@@@@@@@@@@@@122</v>
      </c>
      <c r="I124" s="28" t="str">
        <f ca="1"/>
        <v>ZZZZZ@@@122</v>
      </c>
      <c r="J124" s="28" t="e">
        <f ca="1"/>
        <v>#NAME?</v>
      </c>
      <c r="K124" s="28" t="e">
        <f ca="1"/>
        <v>#NAME?</v>
      </c>
      <c r="L124" s="28" t="e">
        <f ca="1"/>
        <v>#NAME?</v>
      </c>
      <c r="M124" s="28" t="e">
        <f ca="1"/>
        <v>#NAME?</v>
      </c>
      <c r="N124" t="e">
        <f ca="1"/>
        <v>#NAME?</v>
      </c>
      <c r="O124" t="e">
        <f ca="1"/>
        <v>#NAME?</v>
      </c>
      <c r="P124" t="str">
        <f ca="1"/>
        <v/>
      </c>
      <c r="Q124" t="str">
        <f ca="1"/>
        <v/>
      </c>
      <c r="R124">
        <f ca="1"/>
        <v>12</v>
      </c>
      <c r="S124" t="str">
        <f ca="1"/>
        <v>ZZZZZ</v>
      </c>
      <c r="T124" t="str">
        <f ca="1"/>
        <v>ZZZZZ</v>
      </c>
      <c r="U124" t="e">
        <f ca="1"/>
        <v>#NAME?</v>
      </c>
      <c r="V124" t="e">
        <f ca="1"/>
        <v>#NAME?</v>
      </c>
      <c r="W124" t="e">
        <f ca="1"/>
        <v>#NAME?</v>
      </c>
      <c r="X124" t="e">
        <f ca="1"/>
        <v>#NAME?</v>
      </c>
      <c r="Y124" t="e" cm="1">
        <f t="array" aca="1" ref="Y124" ca="1">IF(W124&lt;&gt;"", SUMPRODUCT( (input!H:H=tipos_eqs!W124)*1 ), "")</f>
        <v>#NAME?</v>
      </c>
      <c r="Z124" t="e">
        <f ca="1"/>
        <v>#NAME?</v>
      </c>
      <c r="AC124" t="str">
        <f t="shared" ca="1" si="6"/>
        <v/>
      </c>
      <c r="AD124" t="e">
        <f t="shared" ca="1" si="7"/>
        <v>#NAME?</v>
      </c>
      <c r="AE124" t="e">
        <f t="shared" ca="1" si="5"/>
        <v>#NAME?</v>
      </c>
    </row>
    <row r="125" spans="1:31" x14ac:dyDescent="0.3">
      <c r="A125" s="26">
        <f ca="1"/>
        <v>123</v>
      </c>
      <c r="B125" s="28"/>
      <c r="C125" s="28"/>
      <c r="D125" s="31" t="str">
        <f ca="1"/>
        <v>1100</v>
      </c>
      <c r="F125">
        <f ca="1"/>
        <v>0</v>
      </c>
      <c r="G125">
        <f ca="1"/>
        <v>0</v>
      </c>
      <c r="H125" s="28" t="str">
        <f ca="1"/>
        <v>ZZZZZ@@@@@@@@@@@@@@@@@@@@@@@@@@@123</v>
      </c>
      <c r="I125" s="28" t="str">
        <f ca="1"/>
        <v>ZZZZZ@@@123</v>
      </c>
      <c r="J125" s="28" t="e">
        <f ca="1"/>
        <v>#NAME?</v>
      </c>
      <c r="K125" s="28" t="e">
        <f ca="1"/>
        <v>#NAME?</v>
      </c>
      <c r="L125" s="28" t="e">
        <f ca="1"/>
        <v>#NAME?</v>
      </c>
      <c r="M125" s="28" t="e">
        <f ca="1"/>
        <v>#NAME?</v>
      </c>
      <c r="N125" t="e">
        <f ca="1"/>
        <v>#NAME?</v>
      </c>
      <c r="O125" t="e">
        <f ca="1"/>
        <v>#NAME?</v>
      </c>
      <c r="P125" t="str">
        <f ca="1"/>
        <v/>
      </c>
      <c r="Q125" t="str">
        <f ca="1"/>
        <v/>
      </c>
      <c r="R125">
        <f ca="1"/>
        <v>12</v>
      </c>
      <c r="S125" t="str">
        <f ca="1"/>
        <v>ZZZZZ</v>
      </c>
      <c r="T125" t="str">
        <f ca="1"/>
        <v>ZZZZZ</v>
      </c>
      <c r="U125" t="e">
        <f ca="1"/>
        <v>#NAME?</v>
      </c>
      <c r="V125" t="e">
        <f ca="1"/>
        <v>#NAME?</v>
      </c>
      <c r="W125" t="e">
        <f ca="1"/>
        <v>#NAME?</v>
      </c>
      <c r="X125" t="e">
        <f ca="1"/>
        <v>#NAME?</v>
      </c>
      <c r="Y125" t="e" cm="1">
        <f t="array" aca="1" ref="Y125" ca="1">IF(W125&lt;&gt;"", SUMPRODUCT( (input!H:H=tipos_eqs!W125)*1 ), "")</f>
        <v>#NAME?</v>
      </c>
      <c r="Z125" t="e">
        <f ca="1"/>
        <v>#NAME?</v>
      </c>
      <c r="AC125" t="str">
        <f t="shared" ca="1" si="6"/>
        <v/>
      </c>
      <c r="AD125" t="e">
        <f t="shared" ca="1" si="7"/>
        <v>#NAME?</v>
      </c>
      <c r="AE125" t="e">
        <f t="shared" ca="1" si="5"/>
        <v>#NAME?</v>
      </c>
    </row>
    <row r="126" spans="1:31" x14ac:dyDescent="0.3">
      <c r="A126" s="26">
        <f ca="1"/>
        <v>124</v>
      </c>
      <c r="B126" s="28"/>
      <c r="C126" s="28"/>
      <c r="D126" s="31" t="str">
        <f ca="1"/>
        <v>1100</v>
      </c>
      <c r="F126">
        <f ca="1"/>
        <v>0</v>
      </c>
      <c r="G126">
        <f ca="1"/>
        <v>0</v>
      </c>
      <c r="H126" s="28" t="str">
        <f ca="1"/>
        <v>ZZZZZ@@@@@@@@@@@@@@@@@@@@@@@@@@@124</v>
      </c>
      <c r="I126" s="28" t="str">
        <f ca="1"/>
        <v>ZZZZZ@@@124</v>
      </c>
      <c r="J126" s="28" t="e">
        <f ca="1"/>
        <v>#NAME?</v>
      </c>
      <c r="K126" s="28" t="e">
        <f ca="1"/>
        <v>#NAME?</v>
      </c>
      <c r="L126" s="28" t="e">
        <f ca="1"/>
        <v>#NAME?</v>
      </c>
      <c r="M126" s="28" t="e">
        <f ca="1"/>
        <v>#NAME?</v>
      </c>
      <c r="N126" t="e">
        <f ca="1"/>
        <v>#NAME?</v>
      </c>
      <c r="O126" t="e">
        <f ca="1"/>
        <v>#NAME?</v>
      </c>
      <c r="P126" t="str">
        <f ca="1"/>
        <v/>
      </c>
      <c r="Q126" t="str">
        <f ca="1"/>
        <v/>
      </c>
      <c r="R126">
        <f ca="1"/>
        <v>12</v>
      </c>
      <c r="S126" t="str">
        <f ca="1"/>
        <v>ZZZZZ</v>
      </c>
      <c r="T126" t="str">
        <f ca="1"/>
        <v>ZZZZZ</v>
      </c>
      <c r="U126" t="e">
        <f ca="1"/>
        <v>#NAME?</v>
      </c>
      <c r="V126" t="e">
        <f ca="1"/>
        <v>#NAME?</v>
      </c>
      <c r="W126" t="e">
        <f ca="1"/>
        <v>#NAME?</v>
      </c>
      <c r="X126" t="e">
        <f ca="1"/>
        <v>#NAME?</v>
      </c>
      <c r="Y126" t="e" cm="1">
        <f t="array" aca="1" ref="Y126" ca="1">IF(W126&lt;&gt;"", SUMPRODUCT( (input!H:H=tipos_eqs!W126)*1 ), "")</f>
        <v>#NAME?</v>
      </c>
      <c r="Z126" t="e">
        <f ca="1"/>
        <v>#NAME?</v>
      </c>
      <c r="AC126" t="str">
        <f t="shared" ca="1" si="6"/>
        <v/>
      </c>
      <c r="AD126" t="e">
        <f t="shared" ca="1" si="7"/>
        <v>#NAME?</v>
      </c>
      <c r="AE126" t="e">
        <f t="shared" ca="1" si="5"/>
        <v>#NAME?</v>
      </c>
    </row>
    <row r="127" spans="1:31" x14ac:dyDescent="0.3">
      <c r="A127" s="26">
        <f ca="1"/>
        <v>125</v>
      </c>
      <c r="B127" s="28"/>
      <c r="C127" s="28"/>
      <c r="D127" s="31" t="str">
        <f ca="1"/>
        <v>1100</v>
      </c>
      <c r="F127">
        <f ca="1"/>
        <v>0</v>
      </c>
      <c r="G127">
        <f ca="1"/>
        <v>0</v>
      </c>
      <c r="H127" s="28" t="str">
        <f ca="1"/>
        <v>ZZZZZ@@@@@@@@@@@@@@@@@@@@@@@@@@@125</v>
      </c>
      <c r="I127" s="28" t="str">
        <f ca="1"/>
        <v>ZZZZZ@@@125</v>
      </c>
      <c r="J127" s="28" t="e">
        <f ca="1"/>
        <v>#NAME?</v>
      </c>
      <c r="K127" s="28" t="e">
        <f ca="1"/>
        <v>#NAME?</v>
      </c>
      <c r="L127" s="28" t="e">
        <f ca="1"/>
        <v>#NAME?</v>
      </c>
      <c r="M127" s="28" t="e">
        <f ca="1"/>
        <v>#NAME?</v>
      </c>
      <c r="N127" t="e">
        <f ca="1"/>
        <v>#NAME?</v>
      </c>
      <c r="O127" t="e">
        <f ca="1"/>
        <v>#NAME?</v>
      </c>
      <c r="P127" t="str">
        <f ca="1"/>
        <v/>
      </c>
      <c r="Q127" t="str">
        <f ca="1"/>
        <v/>
      </c>
      <c r="R127">
        <f ca="1"/>
        <v>12</v>
      </c>
      <c r="S127" t="str">
        <f ca="1"/>
        <v>ZZZZZ</v>
      </c>
      <c r="T127" t="str">
        <f ca="1"/>
        <v>ZZZZZ</v>
      </c>
      <c r="U127" t="e">
        <f ca="1"/>
        <v>#NAME?</v>
      </c>
      <c r="V127" t="e">
        <f ca="1"/>
        <v>#NAME?</v>
      </c>
      <c r="W127" t="e">
        <f ca="1"/>
        <v>#NAME?</v>
      </c>
      <c r="X127" t="e">
        <f ca="1"/>
        <v>#NAME?</v>
      </c>
      <c r="Y127" t="e" cm="1">
        <f t="array" aca="1" ref="Y127" ca="1">IF(W127&lt;&gt;"", SUMPRODUCT( (input!H:H=tipos_eqs!W127)*1 ), "")</f>
        <v>#NAME?</v>
      </c>
      <c r="Z127" t="e">
        <f ca="1"/>
        <v>#NAME?</v>
      </c>
      <c r="AC127" t="str">
        <f t="shared" ca="1" si="6"/>
        <v/>
      </c>
      <c r="AD127" t="e">
        <f t="shared" ca="1" si="7"/>
        <v>#NAME?</v>
      </c>
      <c r="AE127" t="e">
        <f t="shared" ca="1" si="5"/>
        <v>#NAME?</v>
      </c>
    </row>
    <row r="128" spans="1:31" x14ac:dyDescent="0.3">
      <c r="A128" s="26">
        <f ca="1"/>
        <v>126</v>
      </c>
      <c r="B128" s="28"/>
      <c r="C128" s="28"/>
      <c r="D128" s="31" t="str">
        <f ca="1"/>
        <v>1100</v>
      </c>
      <c r="F128">
        <f ca="1"/>
        <v>0</v>
      </c>
      <c r="G128">
        <f ca="1"/>
        <v>0</v>
      </c>
      <c r="H128" s="28" t="str">
        <f ca="1"/>
        <v>ZZZZZ@@@@@@@@@@@@@@@@@@@@@@@@@@@126</v>
      </c>
      <c r="I128" s="28" t="str">
        <f ca="1"/>
        <v>ZZZZZ@@@126</v>
      </c>
      <c r="J128" s="28" t="e">
        <f ca="1"/>
        <v>#NAME?</v>
      </c>
      <c r="K128" s="28" t="e">
        <f ca="1"/>
        <v>#NAME?</v>
      </c>
      <c r="L128" s="28" t="e">
        <f ca="1"/>
        <v>#NAME?</v>
      </c>
      <c r="M128" s="28" t="e">
        <f ca="1"/>
        <v>#NAME?</v>
      </c>
      <c r="N128" t="e">
        <f ca="1"/>
        <v>#NAME?</v>
      </c>
      <c r="O128" t="e">
        <f ca="1"/>
        <v>#NAME?</v>
      </c>
      <c r="P128" t="str">
        <f ca="1"/>
        <v/>
      </c>
      <c r="Q128" t="str">
        <f ca="1"/>
        <v/>
      </c>
      <c r="R128">
        <f ca="1"/>
        <v>12</v>
      </c>
      <c r="S128" t="str">
        <f ca="1"/>
        <v>ZZZZZ</v>
      </c>
      <c r="T128" t="str">
        <f ca="1"/>
        <v>ZZZZZ</v>
      </c>
      <c r="U128" t="e">
        <f ca="1"/>
        <v>#NAME?</v>
      </c>
      <c r="V128" t="e">
        <f ca="1"/>
        <v>#NAME?</v>
      </c>
      <c r="W128" t="e">
        <f ca="1"/>
        <v>#NAME?</v>
      </c>
      <c r="X128" t="e">
        <f ca="1"/>
        <v>#NAME?</v>
      </c>
      <c r="Y128" t="e" cm="1">
        <f t="array" aca="1" ref="Y128" ca="1">IF(W128&lt;&gt;"", SUMPRODUCT( (input!H:H=tipos_eqs!W128)*1 ), "")</f>
        <v>#NAME?</v>
      </c>
      <c r="Z128" t="e">
        <f ca="1"/>
        <v>#NAME?</v>
      </c>
      <c r="AC128" t="str">
        <f t="shared" ca="1" si="6"/>
        <v/>
      </c>
      <c r="AD128" t="e">
        <f t="shared" ca="1" si="7"/>
        <v>#NAME?</v>
      </c>
      <c r="AE128" t="e">
        <f t="shared" ca="1" si="5"/>
        <v>#NAME?</v>
      </c>
    </row>
    <row r="129" spans="1:31" x14ac:dyDescent="0.3">
      <c r="A129" s="26">
        <f ca="1"/>
        <v>127</v>
      </c>
      <c r="B129" s="28"/>
      <c r="C129" s="28"/>
      <c r="D129" s="31" t="str">
        <f ca="1"/>
        <v>1100</v>
      </c>
      <c r="F129">
        <f ca="1"/>
        <v>0</v>
      </c>
      <c r="G129">
        <f ca="1"/>
        <v>0</v>
      </c>
      <c r="H129" s="28" t="str">
        <f ca="1"/>
        <v>ZZZZZ@@@@@@@@@@@@@@@@@@@@@@@@@@@127</v>
      </c>
      <c r="I129" s="28" t="str">
        <f ca="1"/>
        <v>ZZZZZ@@@127</v>
      </c>
      <c r="J129" s="28" t="e">
        <f ca="1"/>
        <v>#NAME?</v>
      </c>
      <c r="K129" s="28" t="e">
        <f ca="1"/>
        <v>#NAME?</v>
      </c>
      <c r="L129" s="28" t="e">
        <f ca="1"/>
        <v>#NAME?</v>
      </c>
      <c r="M129" s="28" t="e">
        <f ca="1"/>
        <v>#NAME?</v>
      </c>
      <c r="N129" t="e">
        <f ca="1"/>
        <v>#NAME?</v>
      </c>
      <c r="O129" t="e">
        <f ca="1"/>
        <v>#NAME?</v>
      </c>
      <c r="P129" t="str">
        <f ca="1"/>
        <v/>
      </c>
      <c r="Q129" t="str">
        <f ca="1"/>
        <v/>
      </c>
      <c r="R129">
        <f ca="1"/>
        <v>12</v>
      </c>
      <c r="S129" t="str">
        <f ca="1"/>
        <v>ZZZZZ</v>
      </c>
      <c r="T129" t="str">
        <f ca="1"/>
        <v>ZZZZZ</v>
      </c>
      <c r="U129" t="e">
        <f ca="1"/>
        <v>#NAME?</v>
      </c>
      <c r="V129" t="e">
        <f ca="1"/>
        <v>#NAME?</v>
      </c>
      <c r="W129" t="e">
        <f ca="1"/>
        <v>#NAME?</v>
      </c>
      <c r="X129" t="e">
        <f ca="1"/>
        <v>#NAME?</v>
      </c>
      <c r="Y129" t="e" cm="1">
        <f t="array" aca="1" ref="Y129" ca="1">IF(W129&lt;&gt;"", SUMPRODUCT( (input!H:H=tipos_eqs!W129)*1 ), "")</f>
        <v>#NAME?</v>
      </c>
      <c r="Z129" t="e">
        <f ca="1"/>
        <v>#NAME?</v>
      </c>
      <c r="AC129" t="str">
        <f t="shared" ca="1" si="6"/>
        <v/>
      </c>
      <c r="AD129" t="e">
        <f t="shared" ca="1" si="7"/>
        <v>#NAME?</v>
      </c>
      <c r="AE129" t="e">
        <f t="shared" ca="1" si="5"/>
        <v>#NAME?</v>
      </c>
    </row>
    <row r="130" spans="1:31" x14ac:dyDescent="0.3">
      <c r="A130" s="26">
        <f ca="1"/>
        <v>128</v>
      </c>
      <c r="B130" s="28"/>
      <c r="C130" s="28"/>
      <c r="D130" s="31" t="str">
        <f ca="1"/>
        <v>1100</v>
      </c>
      <c r="F130">
        <f ca="1"/>
        <v>0</v>
      </c>
      <c r="G130">
        <f ca="1"/>
        <v>0</v>
      </c>
      <c r="H130" s="28" t="str">
        <f ca="1"/>
        <v>ZZZZZ@@@@@@@@@@@@@@@@@@@@@@@@@@@128</v>
      </c>
      <c r="I130" s="28" t="str">
        <f ca="1"/>
        <v>ZZZZZ@@@128</v>
      </c>
      <c r="J130" s="28" t="e">
        <f ca="1"/>
        <v>#NAME?</v>
      </c>
      <c r="K130" s="28" t="e">
        <f ca="1"/>
        <v>#NAME?</v>
      </c>
      <c r="L130" s="28" t="e">
        <f ca="1"/>
        <v>#NAME?</v>
      </c>
      <c r="M130" s="28" t="e">
        <f ca="1"/>
        <v>#NAME?</v>
      </c>
      <c r="N130" t="e">
        <f ca="1"/>
        <v>#NAME?</v>
      </c>
      <c r="O130" t="e">
        <f ca="1"/>
        <v>#NAME?</v>
      </c>
      <c r="P130" t="str">
        <f ca="1"/>
        <v/>
      </c>
      <c r="Q130" t="str">
        <f ca="1"/>
        <v/>
      </c>
      <c r="R130">
        <f ca="1"/>
        <v>12</v>
      </c>
      <c r="S130" t="str">
        <f ca="1"/>
        <v>ZZZZZ</v>
      </c>
      <c r="T130" t="str">
        <f ca="1"/>
        <v>ZZZZZ</v>
      </c>
      <c r="U130" t="e">
        <f ca="1"/>
        <v>#NAME?</v>
      </c>
      <c r="V130" t="e">
        <f ca="1"/>
        <v>#NAME?</v>
      </c>
      <c r="W130" t="e">
        <f ca="1"/>
        <v>#NAME?</v>
      </c>
      <c r="X130" t="e">
        <f ca="1"/>
        <v>#NAME?</v>
      </c>
      <c r="Y130" t="e" cm="1">
        <f t="array" aca="1" ref="Y130" ca="1">IF(W130&lt;&gt;"", SUMPRODUCT( (input!H:H=tipos_eqs!W130)*1 ), "")</f>
        <v>#NAME?</v>
      </c>
      <c r="Z130" t="e">
        <f ca="1"/>
        <v>#NAME?</v>
      </c>
      <c r="AC130" t="str">
        <f t="shared" ca="1" si="6"/>
        <v/>
      </c>
      <c r="AD130" t="e">
        <f t="shared" ca="1" si="7"/>
        <v>#NAME?</v>
      </c>
      <c r="AE130" t="e">
        <f t="shared" ca="1" si="5"/>
        <v>#NAME?</v>
      </c>
    </row>
    <row r="131" spans="1:31" x14ac:dyDescent="0.3">
      <c r="A131" s="26">
        <f ca="1"/>
        <v>129</v>
      </c>
      <c r="B131" s="28"/>
      <c r="C131" s="28"/>
      <c r="D131" s="31" t="str">
        <f ca="1"/>
        <v>1100</v>
      </c>
      <c r="F131">
        <f ca="1"/>
        <v>0</v>
      </c>
      <c r="G131">
        <f ca="1"/>
        <v>0</v>
      </c>
      <c r="H131" s="28" t="str">
        <f ca="1"/>
        <v>ZZZZZ@@@@@@@@@@@@@@@@@@@@@@@@@@@129</v>
      </c>
      <c r="I131" s="28" t="str">
        <f ca="1"/>
        <v>ZZZZZ@@@129</v>
      </c>
      <c r="J131" s="28" t="e">
        <f ca="1"/>
        <v>#NAME?</v>
      </c>
      <c r="K131" s="28" t="e">
        <f ca="1"/>
        <v>#NAME?</v>
      </c>
      <c r="L131" s="28" t="e">
        <f ca="1"/>
        <v>#NAME?</v>
      </c>
      <c r="M131" s="28" t="e">
        <f ca="1"/>
        <v>#NAME?</v>
      </c>
      <c r="N131" t="e">
        <f ca="1"/>
        <v>#NAME?</v>
      </c>
      <c r="O131" t="e">
        <f ca="1"/>
        <v>#NAME?</v>
      </c>
      <c r="P131" t="str">
        <f ca="1"/>
        <v/>
      </c>
      <c r="Q131" t="str">
        <f ca="1"/>
        <v/>
      </c>
      <c r="R131">
        <f ca="1"/>
        <v>12</v>
      </c>
      <c r="S131" t="str">
        <f ca="1"/>
        <v>ZZZZZ</v>
      </c>
      <c r="T131" t="str">
        <f ca="1"/>
        <v>ZZZZZ</v>
      </c>
      <c r="U131" t="e">
        <f ca="1"/>
        <v>#NAME?</v>
      </c>
      <c r="V131" t="e">
        <f ca="1"/>
        <v>#NAME?</v>
      </c>
      <c r="W131" t="e">
        <f ca="1"/>
        <v>#NAME?</v>
      </c>
      <c r="X131" t="e">
        <f ca="1"/>
        <v>#NAME?</v>
      </c>
      <c r="Y131" t="e" cm="1">
        <f t="array" aca="1" ref="Y131" ca="1">IF(W131&lt;&gt;"", SUMPRODUCT( (input!H:H=tipos_eqs!W131)*1 ), "")</f>
        <v>#NAME?</v>
      </c>
      <c r="Z131" t="e">
        <f ca="1"/>
        <v>#NAME?</v>
      </c>
      <c r="AC131" t="str">
        <f t="shared" ca="1" si="6"/>
        <v/>
      </c>
      <c r="AD131" t="e">
        <f t="shared" ca="1" si="7"/>
        <v>#NAME?</v>
      </c>
      <c r="AE131" t="e">
        <f t="shared" ca="1" si="5"/>
        <v>#NAME?</v>
      </c>
    </row>
    <row r="132" spans="1:31" x14ac:dyDescent="0.3">
      <c r="A132" s="26">
        <f ca="1"/>
        <v>130</v>
      </c>
      <c r="B132" s="28"/>
      <c r="C132" s="28"/>
      <c r="D132" s="31" t="str">
        <f ca="1"/>
        <v>1100</v>
      </c>
      <c r="F132">
        <f ca="1"/>
        <v>0</v>
      </c>
      <c r="G132">
        <f ca="1"/>
        <v>0</v>
      </c>
      <c r="H132" s="28" t="str">
        <f ca="1"/>
        <v>ZZZZZ@@@@@@@@@@@@@@@@@@@@@@@@@@@130</v>
      </c>
      <c r="I132" s="28" t="str">
        <f ca="1"/>
        <v>ZZZZZ@@@130</v>
      </c>
      <c r="J132" s="28" t="e">
        <f ca="1"/>
        <v>#NAME?</v>
      </c>
      <c r="K132" s="28" t="e">
        <f ca="1"/>
        <v>#NAME?</v>
      </c>
      <c r="L132" s="28" t="e">
        <f ca="1"/>
        <v>#NAME?</v>
      </c>
      <c r="M132" s="28" t="e">
        <f ca="1"/>
        <v>#NAME?</v>
      </c>
      <c r="N132" t="e">
        <f ca="1"/>
        <v>#NAME?</v>
      </c>
      <c r="O132" t="e">
        <f ca="1"/>
        <v>#NAME?</v>
      </c>
      <c r="P132" t="str">
        <f ca="1"/>
        <v/>
      </c>
      <c r="Q132" t="str">
        <f ca="1"/>
        <v/>
      </c>
      <c r="R132">
        <f ca="1"/>
        <v>12</v>
      </c>
      <c r="S132" t="str">
        <f ca="1"/>
        <v>ZZZZZ</v>
      </c>
      <c r="T132" t="str">
        <f ca="1"/>
        <v>ZZZZZ</v>
      </c>
      <c r="U132" t="e">
        <f ca="1"/>
        <v>#NAME?</v>
      </c>
      <c r="V132" t="e">
        <f ca="1"/>
        <v>#NAME?</v>
      </c>
      <c r="W132" t="e">
        <f ca="1"/>
        <v>#NAME?</v>
      </c>
      <c r="X132" t="e">
        <f ca="1"/>
        <v>#NAME?</v>
      </c>
      <c r="Y132" t="e" cm="1">
        <f t="array" aca="1" ref="Y132" ca="1">IF(W132&lt;&gt;"", SUMPRODUCT( (input!H:H=tipos_eqs!W132)*1 ), "")</f>
        <v>#NAME?</v>
      </c>
      <c r="Z132" t="e">
        <f ca="1"/>
        <v>#NAME?</v>
      </c>
      <c r="AC132" t="str">
        <f t="shared" ca="1" si="6"/>
        <v/>
      </c>
      <c r="AD132" t="e">
        <f t="shared" ref="AD132:AD163" ca="1" si="8">IF(AA132=AA131, AD131 &amp; ", ", "") &amp; AC132</f>
        <v>#NAME?</v>
      </c>
      <c r="AE132" t="e">
        <f t="shared" ref="AE132:AE195" ca="1" si="9">IF(ISNUMBER(FIND(AD132,AD133)), "ZZZZZ@@", AD132)</f>
        <v>#NAME?</v>
      </c>
    </row>
    <row r="133" spans="1:31" x14ac:dyDescent="0.3">
      <c r="A133" s="26">
        <f ca="1"/>
        <v>131</v>
      </c>
      <c r="B133" s="28"/>
      <c r="C133" s="28"/>
      <c r="D133" s="31" t="str">
        <f ca="1"/>
        <v>1100</v>
      </c>
      <c r="F133">
        <f ca="1"/>
        <v>0</v>
      </c>
      <c r="G133">
        <f ca="1"/>
        <v>0</v>
      </c>
      <c r="H133" s="28" t="str">
        <f ca="1"/>
        <v>ZZZZZ@@@@@@@@@@@@@@@@@@@@@@@@@@@131</v>
      </c>
      <c r="I133" s="28" t="str">
        <f ca="1"/>
        <v>ZZZZZ@@@131</v>
      </c>
      <c r="J133" s="28" t="e">
        <f ca="1"/>
        <v>#NAME?</v>
      </c>
      <c r="K133" s="28" t="e">
        <f ca="1"/>
        <v>#NAME?</v>
      </c>
      <c r="L133" s="28" t="e">
        <f ca="1"/>
        <v>#NAME?</v>
      </c>
      <c r="M133" s="28" t="e">
        <f ca="1"/>
        <v>#NAME?</v>
      </c>
      <c r="N133" t="e">
        <f ca="1"/>
        <v>#NAME?</v>
      </c>
      <c r="O133" t="e">
        <f ca="1"/>
        <v>#NAME?</v>
      </c>
      <c r="P133" t="str">
        <f ca="1"/>
        <v/>
      </c>
      <c r="Q133" t="str">
        <f ca="1"/>
        <v/>
      </c>
      <c r="R133">
        <f ca="1"/>
        <v>12</v>
      </c>
      <c r="S133" t="str">
        <f ca="1"/>
        <v>ZZZZZ</v>
      </c>
      <c r="T133" t="str">
        <f ca="1"/>
        <v>ZZZZZ</v>
      </c>
      <c r="U133" t="e">
        <f ca="1"/>
        <v>#NAME?</v>
      </c>
      <c r="V133" t="e">
        <f ca="1"/>
        <v>#NAME?</v>
      </c>
      <c r="W133" t="e">
        <f ca="1"/>
        <v>#NAME?</v>
      </c>
      <c r="X133" t="e">
        <f ca="1"/>
        <v>#NAME?</v>
      </c>
      <c r="Y133" t="e" cm="1">
        <f t="array" aca="1" ref="Y133" ca="1">IF(W133&lt;&gt;"", SUMPRODUCT( (input!H:H=tipos_eqs!W133)*1 ), "")</f>
        <v>#NAME?</v>
      </c>
      <c r="Z133" t="e">
        <f ca="1"/>
        <v>#NAME?</v>
      </c>
      <c r="AC133" t="str">
        <f t="shared" ref="AC133:AC196" ca="1" si="10">IF(AA133&gt;0, OFFSET(X$2, AB133, 0), "")</f>
        <v/>
      </c>
      <c r="AD133" t="e">
        <f t="shared" ca="1" si="8"/>
        <v>#NAME?</v>
      </c>
      <c r="AE133" t="e">
        <f t="shared" ca="1" si="9"/>
        <v>#NAME?</v>
      </c>
    </row>
    <row r="134" spans="1:31" x14ac:dyDescent="0.3">
      <c r="A134" s="26">
        <f ca="1"/>
        <v>132</v>
      </c>
      <c r="B134" s="28"/>
      <c r="C134" s="28"/>
      <c r="D134" s="31" t="str">
        <f ca="1"/>
        <v>1100</v>
      </c>
      <c r="F134">
        <f ca="1"/>
        <v>0</v>
      </c>
      <c r="G134">
        <f ca="1"/>
        <v>0</v>
      </c>
      <c r="H134" s="28" t="str">
        <f ca="1"/>
        <v>ZZZZZ@@@@@@@@@@@@@@@@@@@@@@@@@@@132</v>
      </c>
      <c r="I134" s="28" t="str">
        <f ca="1"/>
        <v>ZZZZZ@@@132</v>
      </c>
      <c r="J134" s="28" t="e">
        <f ca="1"/>
        <v>#NAME?</v>
      </c>
      <c r="K134" s="28" t="e">
        <f ca="1"/>
        <v>#NAME?</v>
      </c>
      <c r="L134" s="28" t="e">
        <f ca="1"/>
        <v>#NAME?</v>
      </c>
      <c r="M134" s="28" t="e">
        <f ca="1"/>
        <v>#NAME?</v>
      </c>
      <c r="N134" t="e">
        <f ca="1"/>
        <v>#NAME?</v>
      </c>
      <c r="O134" t="e">
        <f ca="1"/>
        <v>#NAME?</v>
      </c>
      <c r="P134" t="str">
        <f ca="1"/>
        <v/>
      </c>
      <c r="Q134" t="str">
        <f ca="1"/>
        <v/>
      </c>
      <c r="R134">
        <f ca="1"/>
        <v>12</v>
      </c>
      <c r="S134" t="str">
        <f ca="1"/>
        <v>ZZZZZ</v>
      </c>
      <c r="T134" t="str">
        <f ca="1"/>
        <v>ZZZZZ</v>
      </c>
      <c r="U134" t="e">
        <f ca="1"/>
        <v>#NAME?</v>
      </c>
      <c r="V134" t="e">
        <f ca="1"/>
        <v>#NAME?</v>
      </c>
      <c r="W134" t="e">
        <f ca="1"/>
        <v>#NAME?</v>
      </c>
      <c r="X134" t="e">
        <f ca="1"/>
        <v>#NAME?</v>
      </c>
      <c r="Y134" t="e" cm="1">
        <f t="array" aca="1" ref="Y134" ca="1">IF(W134&lt;&gt;"", SUMPRODUCT( (input!H:H=tipos_eqs!W134)*1 ), "")</f>
        <v>#NAME?</v>
      </c>
      <c r="Z134" t="e">
        <f ca="1"/>
        <v>#NAME?</v>
      </c>
      <c r="AC134" t="str">
        <f t="shared" ca="1" si="10"/>
        <v/>
      </c>
      <c r="AD134" t="e">
        <f t="shared" ca="1" si="8"/>
        <v>#NAME?</v>
      </c>
      <c r="AE134" t="e">
        <f t="shared" ca="1" si="9"/>
        <v>#NAME?</v>
      </c>
    </row>
    <row r="135" spans="1:31" x14ac:dyDescent="0.3">
      <c r="A135" s="26">
        <f ca="1"/>
        <v>133</v>
      </c>
      <c r="B135" s="28"/>
      <c r="C135" s="28"/>
      <c r="D135" s="31" t="str">
        <f ca="1"/>
        <v>1100</v>
      </c>
      <c r="F135">
        <f ca="1"/>
        <v>0</v>
      </c>
      <c r="G135">
        <f ca="1"/>
        <v>0</v>
      </c>
      <c r="H135" s="28" t="str">
        <f ca="1"/>
        <v>ZZZZZ@@@@@@@@@@@@@@@@@@@@@@@@@@@133</v>
      </c>
      <c r="I135" s="28" t="str">
        <f ca="1"/>
        <v>ZZZZZ@@@133</v>
      </c>
      <c r="J135" s="28" t="e">
        <f ca="1"/>
        <v>#NAME?</v>
      </c>
      <c r="K135" s="28" t="e">
        <f ca="1"/>
        <v>#NAME?</v>
      </c>
      <c r="L135" s="28" t="e">
        <f ca="1"/>
        <v>#NAME?</v>
      </c>
      <c r="M135" s="28" t="e">
        <f ca="1"/>
        <v>#NAME?</v>
      </c>
      <c r="N135" t="e">
        <f ca="1"/>
        <v>#NAME?</v>
      </c>
      <c r="O135" t="e">
        <f ca="1"/>
        <v>#NAME?</v>
      </c>
      <c r="P135" t="str">
        <f ca="1"/>
        <v/>
      </c>
      <c r="Q135" t="str">
        <f ca="1"/>
        <v/>
      </c>
      <c r="R135">
        <f ca="1"/>
        <v>12</v>
      </c>
      <c r="S135" t="str">
        <f ca="1"/>
        <v>ZZZZZ</v>
      </c>
      <c r="T135" t="str">
        <f ca="1"/>
        <v>ZZZZZ</v>
      </c>
      <c r="U135" t="e">
        <f ca="1"/>
        <v>#NAME?</v>
      </c>
      <c r="V135" t="e">
        <f ca="1"/>
        <v>#NAME?</v>
      </c>
      <c r="W135" t="e">
        <f ca="1"/>
        <v>#NAME?</v>
      </c>
      <c r="X135" t="e">
        <f ca="1"/>
        <v>#NAME?</v>
      </c>
      <c r="Y135" t="e" cm="1">
        <f t="array" aca="1" ref="Y135" ca="1">IF(W135&lt;&gt;"", SUMPRODUCT( (input!H:H=tipos_eqs!W135)*1 ), "")</f>
        <v>#NAME?</v>
      </c>
      <c r="Z135" t="e">
        <f ca="1"/>
        <v>#NAME?</v>
      </c>
      <c r="AC135" t="str">
        <f t="shared" ca="1" si="10"/>
        <v/>
      </c>
      <c r="AD135" t="e">
        <f t="shared" ca="1" si="8"/>
        <v>#NAME?</v>
      </c>
      <c r="AE135" t="e">
        <f t="shared" ca="1" si="9"/>
        <v>#NAME?</v>
      </c>
    </row>
    <row r="136" spans="1:31" x14ac:dyDescent="0.3">
      <c r="A136" s="26">
        <f ca="1"/>
        <v>134</v>
      </c>
      <c r="B136" s="28"/>
      <c r="C136" s="28"/>
      <c r="D136" s="31" t="str">
        <f ca="1"/>
        <v>1100</v>
      </c>
      <c r="F136">
        <f ca="1"/>
        <v>0</v>
      </c>
      <c r="G136">
        <f ca="1"/>
        <v>0</v>
      </c>
      <c r="H136" s="28" t="str">
        <f ca="1"/>
        <v>ZZZZZ@@@@@@@@@@@@@@@@@@@@@@@@@@@134</v>
      </c>
      <c r="I136" s="28" t="str">
        <f ca="1"/>
        <v>ZZZZZ@@@134</v>
      </c>
      <c r="J136" s="28" t="e">
        <f ca="1"/>
        <v>#NAME?</v>
      </c>
      <c r="K136" s="28" t="e">
        <f ca="1"/>
        <v>#NAME?</v>
      </c>
      <c r="L136" s="28" t="e">
        <f ca="1"/>
        <v>#NAME?</v>
      </c>
      <c r="M136" s="28" t="e">
        <f ca="1"/>
        <v>#NAME?</v>
      </c>
      <c r="N136" t="e">
        <f ca="1"/>
        <v>#NAME?</v>
      </c>
      <c r="O136" t="e">
        <f ca="1"/>
        <v>#NAME?</v>
      </c>
      <c r="P136" t="str">
        <f ca="1"/>
        <v/>
      </c>
      <c r="Q136" t="str">
        <f ca="1"/>
        <v/>
      </c>
      <c r="R136">
        <f ca="1"/>
        <v>12</v>
      </c>
      <c r="S136" t="str">
        <f ca="1"/>
        <v>ZZZZZ</v>
      </c>
      <c r="T136" t="str">
        <f ca="1"/>
        <v>ZZZZZ</v>
      </c>
      <c r="U136" t="e">
        <f ca="1"/>
        <v>#NAME?</v>
      </c>
      <c r="V136" t="e">
        <f ca="1"/>
        <v>#NAME?</v>
      </c>
      <c r="W136" t="e">
        <f ca="1"/>
        <v>#NAME?</v>
      </c>
      <c r="X136" t="e">
        <f ca="1"/>
        <v>#NAME?</v>
      </c>
      <c r="Y136" t="e" cm="1">
        <f t="array" aca="1" ref="Y136" ca="1">IF(W136&lt;&gt;"", SUMPRODUCT( (input!H:H=tipos_eqs!W136)*1 ), "")</f>
        <v>#NAME?</v>
      </c>
      <c r="Z136" t="e">
        <f ca="1"/>
        <v>#NAME?</v>
      </c>
      <c r="AC136" t="str">
        <f t="shared" ca="1" si="10"/>
        <v/>
      </c>
      <c r="AD136" t="e">
        <f t="shared" ca="1" si="8"/>
        <v>#NAME?</v>
      </c>
      <c r="AE136" t="e">
        <f t="shared" ca="1" si="9"/>
        <v>#NAME?</v>
      </c>
    </row>
    <row r="137" spans="1:31" x14ac:dyDescent="0.3">
      <c r="A137" s="26">
        <f ca="1"/>
        <v>135</v>
      </c>
      <c r="B137" s="28"/>
      <c r="C137" s="28"/>
      <c r="D137" s="31" t="str">
        <f ca="1"/>
        <v>1100</v>
      </c>
      <c r="F137">
        <f ca="1"/>
        <v>0</v>
      </c>
      <c r="G137">
        <f ca="1"/>
        <v>0</v>
      </c>
      <c r="H137" s="28" t="str">
        <f ca="1"/>
        <v>ZZZZZ@@@@@@@@@@@@@@@@@@@@@@@@@@@135</v>
      </c>
      <c r="I137" s="28" t="str">
        <f ca="1"/>
        <v>ZZZZZ@@@135</v>
      </c>
      <c r="J137" s="28" t="e">
        <f ca="1"/>
        <v>#NAME?</v>
      </c>
      <c r="K137" s="28" t="e">
        <f ca="1"/>
        <v>#NAME?</v>
      </c>
      <c r="L137" s="28" t="e">
        <f ca="1"/>
        <v>#NAME?</v>
      </c>
      <c r="M137" s="28" t="e">
        <f ca="1"/>
        <v>#NAME?</v>
      </c>
      <c r="N137" t="e">
        <f ca="1"/>
        <v>#NAME?</v>
      </c>
      <c r="O137" t="e">
        <f ca="1"/>
        <v>#NAME?</v>
      </c>
      <c r="P137" t="str">
        <f ca="1"/>
        <v/>
      </c>
      <c r="Q137" t="str">
        <f ca="1"/>
        <v/>
      </c>
      <c r="R137">
        <f ca="1"/>
        <v>12</v>
      </c>
      <c r="S137" t="str">
        <f ca="1"/>
        <v>ZZZZZ</v>
      </c>
      <c r="T137" t="str">
        <f ca="1"/>
        <v>ZZZZZ</v>
      </c>
      <c r="U137" t="e">
        <f ca="1"/>
        <v>#NAME?</v>
      </c>
      <c r="V137" t="e">
        <f ca="1"/>
        <v>#NAME?</v>
      </c>
      <c r="W137" t="e">
        <f ca="1"/>
        <v>#NAME?</v>
      </c>
      <c r="X137" t="e">
        <f ca="1"/>
        <v>#NAME?</v>
      </c>
      <c r="Y137" t="e" cm="1">
        <f t="array" aca="1" ref="Y137" ca="1">IF(W137&lt;&gt;"", SUMPRODUCT( (input!H:H=tipos_eqs!W137)*1 ), "")</f>
        <v>#NAME?</v>
      </c>
      <c r="Z137" t="e">
        <f ca="1"/>
        <v>#NAME?</v>
      </c>
      <c r="AC137" t="str">
        <f t="shared" ca="1" si="10"/>
        <v/>
      </c>
      <c r="AD137" t="e">
        <f t="shared" ca="1" si="8"/>
        <v>#NAME?</v>
      </c>
      <c r="AE137" t="e">
        <f t="shared" ca="1" si="9"/>
        <v>#NAME?</v>
      </c>
    </row>
    <row r="138" spans="1:31" x14ac:dyDescent="0.3">
      <c r="A138" s="26">
        <f ca="1"/>
        <v>136</v>
      </c>
      <c r="B138" s="28"/>
      <c r="C138" s="28"/>
      <c r="D138" s="31" t="str">
        <f ca="1"/>
        <v>1100</v>
      </c>
      <c r="F138">
        <f ca="1"/>
        <v>0</v>
      </c>
      <c r="G138">
        <f ca="1"/>
        <v>0</v>
      </c>
      <c r="H138" s="28" t="str">
        <f ca="1"/>
        <v>ZZZZZ@@@@@@@@@@@@@@@@@@@@@@@@@@@136</v>
      </c>
      <c r="I138" s="28" t="str">
        <f ca="1"/>
        <v>ZZZZZ@@@136</v>
      </c>
      <c r="J138" s="28" t="e">
        <f ca="1"/>
        <v>#NAME?</v>
      </c>
      <c r="K138" s="28" t="e">
        <f ca="1"/>
        <v>#NAME?</v>
      </c>
      <c r="L138" s="28" t="e">
        <f ca="1"/>
        <v>#NAME?</v>
      </c>
      <c r="M138" s="28" t="e">
        <f ca="1"/>
        <v>#NAME?</v>
      </c>
      <c r="N138" t="e">
        <f ca="1"/>
        <v>#NAME?</v>
      </c>
      <c r="O138" t="e">
        <f ca="1"/>
        <v>#NAME?</v>
      </c>
      <c r="P138" t="str">
        <f ca="1"/>
        <v/>
      </c>
      <c r="Q138" t="str">
        <f ca="1"/>
        <v/>
      </c>
      <c r="R138">
        <f ca="1"/>
        <v>12</v>
      </c>
      <c r="S138" t="str">
        <f ca="1"/>
        <v>ZZZZZ</v>
      </c>
      <c r="T138" t="str">
        <f ca="1"/>
        <v>ZZZZZ</v>
      </c>
      <c r="U138" t="e">
        <f ca="1"/>
        <v>#NAME?</v>
      </c>
      <c r="V138" t="e">
        <f ca="1"/>
        <v>#NAME?</v>
      </c>
      <c r="W138" t="e">
        <f ca="1"/>
        <v>#NAME?</v>
      </c>
      <c r="X138" t="e">
        <f ca="1"/>
        <v>#NAME?</v>
      </c>
      <c r="Y138" t="e" cm="1">
        <f t="array" aca="1" ref="Y138" ca="1">IF(W138&lt;&gt;"", SUMPRODUCT( (input!H:H=tipos_eqs!W138)*1 ), "")</f>
        <v>#NAME?</v>
      </c>
      <c r="Z138" t="e">
        <f ca="1"/>
        <v>#NAME?</v>
      </c>
      <c r="AC138" t="str">
        <f t="shared" ca="1" si="10"/>
        <v/>
      </c>
      <c r="AD138" t="e">
        <f t="shared" ca="1" si="8"/>
        <v>#NAME?</v>
      </c>
      <c r="AE138" t="e">
        <f t="shared" ca="1" si="9"/>
        <v>#NAME?</v>
      </c>
    </row>
    <row r="139" spans="1:31" x14ac:dyDescent="0.3">
      <c r="A139" s="26">
        <f ca="1"/>
        <v>137</v>
      </c>
      <c r="B139" s="28"/>
      <c r="C139" s="28"/>
      <c r="D139" s="31" t="str">
        <f ca="1"/>
        <v>1100</v>
      </c>
      <c r="F139">
        <f ca="1"/>
        <v>0</v>
      </c>
      <c r="G139">
        <f ca="1"/>
        <v>0</v>
      </c>
      <c r="H139" s="28" t="str">
        <f ca="1"/>
        <v>ZZZZZ@@@@@@@@@@@@@@@@@@@@@@@@@@@137</v>
      </c>
      <c r="I139" s="28" t="str">
        <f ca="1"/>
        <v>ZZZZZ@@@137</v>
      </c>
      <c r="J139" s="28" t="e">
        <f ca="1"/>
        <v>#NAME?</v>
      </c>
      <c r="K139" s="28" t="e">
        <f ca="1"/>
        <v>#NAME?</v>
      </c>
      <c r="L139" s="28" t="e">
        <f ca="1"/>
        <v>#NAME?</v>
      </c>
      <c r="M139" s="28" t="e">
        <f ca="1"/>
        <v>#NAME?</v>
      </c>
      <c r="N139" t="e">
        <f ca="1"/>
        <v>#NAME?</v>
      </c>
      <c r="O139" t="e">
        <f ca="1"/>
        <v>#NAME?</v>
      </c>
      <c r="P139" t="str">
        <f ca="1"/>
        <v/>
      </c>
      <c r="Q139" t="str">
        <f ca="1"/>
        <v/>
      </c>
      <c r="R139">
        <f ca="1"/>
        <v>12</v>
      </c>
      <c r="S139" t="str">
        <f ca="1"/>
        <v>ZZZZZ</v>
      </c>
      <c r="T139" t="str">
        <f ca="1"/>
        <v>ZZZZZ</v>
      </c>
      <c r="U139" t="e">
        <f ca="1"/>
        <v>#NAME?</v>
      </c>
      <c r="V139" t="e">
        <f ca="1"/>
        <v>#NAME?</v>
      </c>
      <c r="W139" t="e">
        <f ca="1"/>
        <v>#NAME?</v>
      </c>
      <c r="X139" t="e">
        <f ca="1"/>
        <v>#NAME?</v>
      </c>
      <c r="Y139" t="e" cm="1">
        <f t="array" aca="1" ref="Y139" ca="1">IF(W139&lt;&gt;"", SUMPRODUCT( (input!H:H=tipos_eqs!W139)*1 ), "")</f>
        <v>#NAME?</v>
      </c>
      <c r="Z139" t="e">
        <f ca="1"/>
        <v>#NAME?</v>
      </c>
      <c r="AC139" t="str">
        <f t="shared" ca="1" si="10"/>
        <v/>
      </c>
      <c r="AD139" t="e">
        <f t="shared" ca="1" si="8"/>
        <v>#NAME?</v>
      </c>
      <c r="AE139" t="e">
        <f t="shared" ca="1" si="9"/>
        <v>#NAME?</v>
      </c>
    </row>
    <row r="140" spans="1:31" x14ac:dyDescent="0.3">
      <c r="A140" s="26">
        <f ca="1"/>
        <v>138</v>
      </c>
      <c r="B140" s="28"/>
      <c r="C140" s="28"/>
      <c r="D140" s="31" t="str">
        <f ca="1"/>
        <v>1100</v>
      </c>
      <c r="F140">
        <f ca="1"/>
        <v>0</v>
      </c>
      <c r="G140">
        <f ca="1"/>
        <v>0</v>
      </c>
      <c r="H140" s="28" t="str">
        <f ca="1"/>
        <v>ZZZZZ@@@@@@@@@@@@@@@@@@@@@@@@@@@138</v>
      </c>
      <c r="I140" s="28" t="str">
        <f ca="1"/>
        <v>ZZZZZ@@@138</v>
      </c>
      <c r="J140" s="28" t="e">
        <f ca="1"/>
        <v>#NAME?</v>
      </c>
      <c r="K140" s="28" t="e">
        <f ca="1"/>
        <v>#NAME?</v>
      </c>
      <c r="L140" s="28" t="e">
        <f ca="1"/>
        <v>#NAME?</v>
      </c>
      <c r="M140" s="28" t="e">
        <f ca="1"/>
        <v>#NAME?</v>
      </c>
      <c r="N140" t="e">
        <f ca="1"/>
        <v>#NAME?</v>
      </c>
      <c r="O140" t="e">
        <f ca="1"/>
        <v>#NAME?</v>
      </c>
      <c r="P140" t="str">
        <f ca="1"/>
        <v/>
      </c>
      <c r="Q140" t="str">
        <f ca="1"/>
        <v/>
      </c>
      <c r="R140">
        <f ca="1"/>
        <v>12</v>
      </c>
      <c r="S140" t="str">
        <f ca="1"/>
        <v>ZZZZZ</v>
      </c>
      <c r="T140" t="str">
        <f ca="1"/>
        <v>ZZZZZ</v>
      </c>
      <c r="U140" t="e">
        <f ca="1"/>
        <v>#NAME?</v>
      </c>
      <c r="V140" t="e">
        <f ca="1"/>
        <v>#NAME?</v>
      </c>
      <c r="W140" t="e">
        <f ca="1"/>
        <v>#NAME?</v>
      </c>
      <c r="X140" t="e">
        <f ca="1"/>
        <v>#NAME?</v>
      </c>
      <c r="Y140" t="e" cm="1">
        <f t="array" aca="1" ref="Y140" ca="1">IF(W140&lt;&gt;"", SUMPRODUCT( (input!H:H=tipos_eqs!W140)*1 ), "")</f>
        <v>#NAME?</v>
      </c>
      <c r="Z140" t="e">
        <f ca="1"/>
        <v>#NAME?</v>
      </c>
      <c r="AC140" t="str">
        <f t="shared" ca="1" si="10"/>
        <v/>
      </c>
      <c r="AD140" t="e">
        <f t="shared" ca="1" si="8"/>
        <v>#NAME?</v>
      </c>
      <c r="AE140" t="e">
        <f t="shared" ca="1" si="9"/>
        <v>#NAME?</v>
      </c>
    </row>
    <row r="141" spans="1:31" x14ac:dyDescent="0.3">
      <c r="A141" s="26">
        <f ca="1"/>
        <v>139</v>
      </c>
      <c r="B141" s="28"/>
      <c r="C141" s="28"/>
      <c r="D141" s="31" t="str">
        <f ca="1"/>
        <v>1100</v>
      </c>
      <c r="F141">
        <f ca="1"/>
        <v>0</v>
      </c>
      <c r="G141">
        <f ca="1"/>
        <v>0</v>
      </c>
      <c r="H141" s="28" t="str">
        <f ca="1"/>
        <v>ZZZZZ@@@@@@@@@@@@@@@@@@@@@@@@@@@139</v>
      </c>
      <c r="I141" s="28" t="str">
        <f ca="1"/>
        <v>ZZZZZ@@@139</v>
      </c>
      <c r="J141" s="28" t="e">
        <f ca="1"/>
        <v>#NAME?</v>
      </c>
      <c r="K141" s="28" t="e">
        <f ca="1"/>
        <v>#NAME?</v>
      </c>
      <c r="L141" s="28" t="e">
        <f ca="1"/>
        <v>#NAME?</v>
      </c>
      <c r="M141" s="28" t="e">
        <f ca="1"/>
        <v>#NAME?</v>
      </c>
      <c r="N141" t="e">
        <f ca="1"/>
        <v>#NAME?</v>
      </c>
      <c r="O141" t="e">
        <f ca="1"/>
        <v>#NAME?</v>
      </c>
      <c r="P141" t="str">
        <f ca="1"/>
        <v/>
      </c>
      <c r="Q141" t="str">
        <f ca="1"/>
        <v/>
      </c>
      <c r="R141">
        <f ca="1"/>
        <v>12</v>
      </c>
      <c r="S141" t="str">
        <f ca="1"/>
        <v>ZZZZZ</v>
      </c>
      <c r="T141" t="str">
        <f ca="1"/>
        <v>ZZZZZ</v>
      </c>
      <c r="U141" t="e">
        <f ca="1"/>
        <v>#NAME?</v>
      </c>
      <c r="V141" t="e">
        <f ca="1"/>
        <v>#NAME?</v>
      </c>
      <c r="W141" t="e">
        <f ca="1"/>
        <v>#NAME?</v>
      </c>
      <c r="X141" t="e">
        <f ca="1"/>
        <v>#NAME?</v>
      </c>
      <c r="Y141" t="e" cm="1">
        <f t="array" aca="1" ref="Y141" ca="1">IF(W141&lt;&gt;"", SUMPRODUCT( (input!H:H=tipos_eqs!W141)*1 ), "")</f>
        <v>#NAME?</v>
      </c>
      <c r="Z141" t="e">
        <f ca="1"/>
        <v>#NAME?</v>
      </c>
      <c r="AC141" t="str">
        <f t="shared" ca="1" si="10"/>
        <v/>
      </c>
      <c r="AD141" t="e">
        <f t="shared" ca="1" si="8"/>
        <v>#NAME?</v>
      </c>
      <c r="AE141" t="e">
        <f t="shared" ca="1" si="9"/>
        <v>#NAME?</v>
      </c>
    </row>
    <row r="142" spans="1:31" x14ac:dyDescent="0.3">
      <c r="A142" s="26">
        <f ca="1"/>
        <v>140</v>
      </c>
      <c r="B142" s="28"/>
      <c r="C142" s="28"/>
      <c r="D142" s="31" t="str">
        <f ca="1"/>
        <v>1100</v>
      </c>
      <c r="F142">
        <f ca="1"/>
        <v>0</v>
      </c>
      <c r="G142">
        <f ca="1"/>
        <v>0</v>
      </c>
      <c r="H142" s="28" t="str">
        <f ca="1"/>
        <v>ZZZZZ@@@@@@@@@@@@@@@@@@@@@@@@@@@140</v>
      </c>
      <c r="I142" s="28" t="str">
        <f ca="1"/>
        <v>ZZZZZ@@@140</v>
      </c>
      <c r="J142" s="28" t="e">
        <f ca="1"/>
        <v>#NAME?</v>
      </c>
      <c r="K142" s="28" t="e">
        <f ca="1"/>
        <v>#NAME?</v>
      </c>
      <c r="L142" s="28" t="e">
        <f ca="1"/>
        <v>#NAME?</v>
      </c>
      <c r="M142" s="28" t="e">
        <f ca="1"/>
        <v>#NAME?</v>
      </c>
      <c r="N142" t="e">
        <f ca="1"/>
        <v>#NAME?</v>
      </c>
      <c r="O142" t="e">
        <f ca="1"/>
        <v>#NAME?</v>
      </c>
      <c r="P142" t="str">
        <f ca="1"/>
        <v/>
      </c>
      <c r="Q142" t="str">
        <f ca="1"/>
        <v/>
      </c>
      <c r="R142">
        <f ca="1"/>
        <v>12</v>
      </c>
      <c r="S142" t="str">
        <f ca="1"/>
        <v>ZZZZZ</v>
      </c>
      <c r="T142" t="str">
        <f ca="1"/>
        <v>ZZZZZ</v>
      </c>
      <c r="U142" t="e">
        <f ca="1"/>
        <v>#NAME?</v>
      </c>
      <c r="V142" t="e">
        <f ca="1"/>
        <v>#NAME?</v>
      </c>
      <c r="W142" t="e">
        <f ca="1"/>
        <v>#NAME?</v>
      </c>
      <c r="X142" t="e">
        <f ca="1"/>
        <v>#NAME?</v>
      </c>
      <c r="Y142" t="e" cm="1">
        <f t="array" aca="1" ref="Y142" ca="1">IF(W142&lt;&gt;"", SUMPRODUCT( (input!H:H=tipos_eqs!W142)*1 ), "")</f>
        <v>#NAME?</v>
      </c>
      <c r="Z142" t="e">
        <f ca="1"/>
        <v>#NAME?</v>
      </c>
      <c r="AC142" t="str">
        <f t="shared" ca="1" si="10"/>
        <v/>
      </c>
      <c r="AD142" t="e">
        <f t="shared" ca="1" si="8"/>
        <v>#NAME?</v>
      </c>
      <c r="AE142" t="e">
        <f t="shared" ca="1" si="9"/>
        <v>#NAME?</v>
      </c>
    </row>
    <row r="143" spans="1:31" x14ac:dyDescent="0.3">
      <c r="A143" s="26">
        <f ca="1"/>
        <v>141</v>
      </c>
      <c r="B143" s="28"/>
      <c r="C143" s="28"/>
      <c r="D143" s="31" t="str">
        <f ca="1"/>
        <v>1100</v>
      </c>
      <c r="F143">
        <f ca="1"/>
        <v>0</v>
      </c>
      <c r="G143">
        <f ca="1"/>
        <v>0</v>
      </c>
      <c r="H143" s="28" t="str">
        <f ca="1"/>
        <v>ZZZZZ@@@@@@@@@@@@@@@@@@@@@@@@@@@141</v>
      </c>
      <c r="I143" s="28" t="str">
        <f ca="1"/>
        <v>ZZZZZ@@@141</v>
      </c>
      <c r="J143" s="28" t="e">
        <f ca="1"/>
        <v>#NAME?</v>
      </c>
      <c r="K143" s="28" t="e">
        <f ca="1"/>
        <v>#NAME?</v>
      </c>
      <c r="L143" s="28" t="e">
        <f ca="1"/>
        <v>#NAME?</v>
      </c>
      <c r="M143" s="28" t="e">
        <f ca="1"/>
        <v>#NAME?</v>
      </c>
      <c r="N143" t="e">
        <f ca="1"/>
        <v>#NAME?</v>
      </c>
      <c r="O143" t="e">
        <f ca="1"/>
        <v>#NAME?</v>
      </c>
      <c r="P143" t="str">
        <f ca="1"/>
        <v/>
      </c>
      <c r="Q143" t="str">
        <f ca="1"/>
        <v/>
      </c>
      <c r="R143">
        <f ca="1"/>
        <v>12</v>
      </c>
      <c r="S143" t="str">
        <f ca="1"/>
        <v>ZZZZZ</v>
      </c>
      <c r="T143" t="str">
        <f ca="1"/>
        <v>ZZZZZ</v>
      </c>
      <c r="U143" t="e">
        <f ca="1"/>
        <v>#NAME?</v>
      </c>
      <c r="V143" t="e">
        <f ca="1"/>
        <v>#NAME?</v>
      </c>
      <c r="W143" t="e">
        <f ca="1"/>
        <v>#NAME?</v>
      </c>
      <c r="X143" t="e">
        <f ca="1"/>
        <v>#NAME?</v>
      </c>
      <c r="Y143" t="e" cm="1">
        <f t="array" aca="1" ref="Y143" ca="1">IF(W143&lt;&gt;"", SUMPRODUCT( (input!H:H=tipos_eqs!W143)*1 ), "")</f>
        <v>#NAME?</v>
      </c>
      <c r="Z143" t="e">
        <f ca="1"/>
        <v>#NAME?</v>
      </c>
      <c r="AC143" t="str">
        <f t="shared" ca="1" si="10"/>
        <v/>
      </c>
      <c r="AD143" t="e">
        <f t="shared" ca="1" si="8"/>
        <v>#NAME?</v>
      </c>
      <c r="AE143" t="e">
        <f t="shared" ca="1" si="9"/>
        <v>#NAME?</v>
      </c>
    </row>
    <row r="144" spans="1:31" x14ac:dyDescent="0.3">
      <c r="A144" s="26">
        <f ca="1"/>
        <v>142</v>
      </c>
      <c r="B144" s="28"/>
      <c r="C144" s="28"/>
      <c r="D144" s="31" t="str">
        <f ca="1"/>
        <v>1100</v>
      </c>
      <c r="F144">
        <f ca="1"/>
        <v>0</v>
      </c>
      <c r="G144">
        <f ca="1"/>
        <v>0</v>
      </c>
      <c r="H144" s="28" t="str">
        <f ca="1"/>
        <v>ZZZZZ@@@@@@@@@@@@@@@@@@@@@@@@@@@142</v>
      </c>
      <c r="I144" s="28" t="str">
        <f ca="1"/>
        <v>ZZZZZ@@@142</v>
      </c>
      <c r="J144" s="28" t="e">
        <f ca="1"/>
        <v>#NAME?</v>
      </c>
      <c r="K144" s="28" t="e">
        <f ca="1"/>
        <v>#NAME?</v>
      </c>
      <c r="L144" s="28" t="e">
        <f ca="1"/>
        <v>#NAME?</v>
      </c>
      <c r="M144" s="28" t="e">
        <f ca="1"/>
        <v>#NAME?</v>
      </c>
      <c r="N144" t="e">
        <f ca="1"/>
        <v>#NAME?</v>
      </c>
      <c r="O144" t="e">
        <f ca="1"/>
        <v>#NAME?</v>
      </c>
      <c r="P144" t="str">
        <f ca="1"/>
        <v/>
      </c>
      <c r="Q144" t="str">
        <f ca="1"/>
        <v/>
      </c>
      <c r="R144">
        <f ca="1"/>
        <v>12</v>
      </c>
      <c r="S144" t="str">
        <f ca="1"/>
        <v>ZZZZZ</v>
      </c>
      <c r="T144" t="str">
        <f ca="1"/>
        <v>ZZZZZ</v>
      </c>
      <c r="U144" t="e">
        <f ca="1"/>
        <v>#NAME?</v>
      </c>
      <c r="V144" t="e">
        <f ca="1"/>
        <v>#NAME?</v>
      </c>
      <c r="W144" t="e">
        <f ca="1"/>
        <v>#NAME?</v>
      </c>
      <c r="X144" t="e">
        <f ca="1"/>
        <v>#NAME?</v>
      </c>
      <c r="Y144" t="e" cm="1">
        <f t="array" aca="1" ref="Y144" ca="1">IF(W144&lt;&gt;"", SUMPRODUCT( (input!H:H=tipos_eqs!W144)*1 ), "")</f>
        <v>#NAME?</v>
      </c>
      <c r="Z144" t="e">
        <f ca="1"/>
        <v>#NAME?</v>
      </c>
      <c r="AC144" t="str">
        <f t="shared" ca="1" si="10"/>
        <v/>
      </c>
      <c r="AD144" t="e">
        <f t="shared" ca="1" si="8"/>
        <v>#NAME?</v>
      </c>
      <c r="AE144" t="e">
        <f t="shared" ca="1" si="9"/>
        <v>#NAME?</v>
      </c>
    </row>
    <row r="145" spans="1:31" x14ac:dyDescent="0.3">
      <c r="A145" s="26">
        <f ca="1"/>
        <v>143</v>
      </c>
      <c r="B145" s="28"/>
      <c r="C145" s="28"/>
      <c r="D145" s="31" t="str">
        <f ca="1"/>
        <v>1100</v>
      </c>
      <c r="F145">
        <f ca="1"/>
        <v>0</v>
      </c>
      <c r="G145">
        <f ca="1"/>
        <v>0</v>
      </c>
      <c r="H145" s="28" t="str">
        <f ca="1"/>
        <v>ZZZZZ@@@@@@@@@@@@@@@@@@@@@@@@@@@143</v>
      </c>
      <c r="I145" s="28" t="str">
        <f ca="1"/>
        <v>ZZZZZ@@@143</v>
      </c>
      <c r="J145" s="28" t="e">
        <f ca="1"/>
        <v>#NAME?</v>
      </c>
      <c r="K145" s="28" t="e">
        <f ca="1"/>
        <v>#NAME?</v>
      </c>
      <c r="L145" s="28" t="e">
        <f ca="1"/>
        <v>#NAME?</v>
      </c>
      <c r="M145" s="28" t="e">
        <f ca="1"/>
        <v>#NAME?</v>
      </c>
      <c r="N145" t="e">
        <f ca="1"/>
        <v>#NAME?</v>
      </c>
      <c r="O145" t="e">
        <f ca="1"/>
        <v>#NAME?</v>
      </c>
      <c r="P145" t="str">
        <f ca="1"/>
        <v/>
      </c>
      <c r="Q145" t="str">
        <f ca="1"/>
        <v/>
      </c>
      <c r="R145">
        <f ca="1"/>
        <v>12</v>
      </c>
      <c r="S145" t="str">
        <f ca="1"/>
        <v>ZZZZZ</v>
      </c>
      <c r="T145" t="str">
        <f ca="1"/>
        <v>ZZZZZ</v>
      </c>
      <c r="U145" t="e">
        <f ca="1"/>
        <v>#NAME?</v>
      </c>
      <c r="V145" t="e">
        <f ca="1"/>
        <v>#NAME?</v>
      </c>
      <c r="W145" t="e">
        <f ca="1"/>
        <v>#NAME?</v>
      </c>
      <c r="X145" t="e">
        <f ca="1"/>
        <v>#NAME?</v>
      </c>
      <c r="Y145" t="e" cm="1">
        <f t="array" aca="1" ref="Y145" ca="1">IF(W145&lt;&gt;"", SUMPRODUCT( (input!H:H=tipos_eqs!W145)*1 ), "")</f>
        <v>#NAME?</v>
      </c>
      <c r="Z145" t="e">
        <f ca="1"/>
        <v>#NAME?</v>
      </c>
      <c r="AC145" t="str">
        <f t="shared" ca="1" si="10"/>
        <v/>
      </c>
      <c r="AD145" t="e">
        <f t="shared" ca="1" si="8"/>
        <v>#NAME?</v>
      </c>
      <c r="AE145" t="e">
        <f t="shared" ca="1" si="9"/>
        <v>#NAME?</v>
      </c>
    </row>
    <row r="146" spans="1:31" x14ac:dyDescent="0.3">
      <c r="A146" s="26">
        <f ca="1"/>
        <v>144</v>
      </c>
      <c r="B146" s="28"/>
      <c r="C146" s="28"/>
      <c r="D146" s="31" t="str">
        <f ca="1"/>
        <v>1100</v>
      </c>
      <c r="F146">
        <f ca="1"/>
        <v>0</v>
      </c>
      <c r="G146">
        <f ca="1"/>
        <v>0</v>
      </c>
      <c r="H146" s="28" t="str">
        <f ca="1"/>
        <v>ZZZZZ@@@@@@@@@@@@@@@@@@@@@@@@@@@144</v>
      </c>
      <c r="I146" s="28" t="str">
        <f ca="1"/>
        <v>ZZZZZ@@@144</v>
      </c>
      <c r="J146" s="28" t="e">
        <f ca="1"/>
        <v>#NAME?</v>
      </c>
      <c r="K146" s="28" t="e">
        <f ca="1"/>
        <v>#NAME?</v>
      </c>
      <c r="L146" s="28" t="e">
        <f ca="1"/>
        <v>#NAME?</v>
      </c>
      <c r="M146" s="28" t="e">
        <f ca="1"/>
        <v>#NAME?</v>
      </c>
      <c r="N146" t="e">
        <f ca="1"/>
        <v>#NAME?</v>
      </c>
      <c r="O146" t="e">
        <f ca="1"/>
        <v>#NAME?</v>
      </c>
      <c r="P146" t="str">
        <f ca="1"/>
        <v/>
      </c>
      <c r="Q146" t="str">
        <f ca="1"/>
        <v/>
      </c>
      <c r="R146">
        <f ca="1"/>
        <v>12</v>
      </c>
      <c r="S146" t="str">
        <f ca="1"/>
        <v>ZZZZZ</v>
      </c>
      <c r="T146" t="str">
        <f ca="1"/>
        <v>ZZZZZ</v>
      </c>
      <c r="U146" t="e">
        <f ca="1"/>
        <v>#NAME?</v>
      </c>
      <c r="V146" t="e">
        <f ca="1"/>
        <v>#NAME?</v>
      </c>
      <c r="W146" t="e">
        <f ca="1"/>
        <v>#NAME?</v>
      </c>
      <c r="X146" t="e">
        <f ca="1"/>
        <v>#NAME?</v>
      </c>
      <c r="Y146" t="e" cm="1">
        <f t="array" aca="1" ref="Y146" ca="1">IF(W146&lt;&gt;"", SUMPRODUCT( (input!H:H=tipos_eqs!W146)*1 ), "")</f>
        <v>#NAME?</v>
      </c>
      <c r="Z146" t="e">
        <f ca="1"/>
        <v>#NAME?</v>
      </c>
      <c r="AC146" t="str">
        <f t="shared" ca="1" si="10"/>
        <v/>
      </c>
      <c r="AD146" t="e">
        <f t="shared" ca="1" si="8"/>
        <v>#NAME?</v>
      </c>
      <c r="AE146" t="e">
        <f t="shared" ca="1" si="9"/>
        <v>#NAME?</v>
      </c>
    </row>
    <row r="147" spans="1:31" x14ac:dyDescent="0.3">
      <c r="A147" s="26">
        <f ca="1"/>
        <v>145</v>
      </c>
      <c r="B147" s="28"/>
      <c r="C147" s="28"/>
      <c r="D147" s="31" t="str">
        <f ca="1"/>
        <v>1100</v>
      </c>
      <c r="F147">
        <f ca="1"/>
        <v>0</v>
      </c>
      <c r="G147">
        <f ca="1"/>
        <v>0</v>
      </c>
      <c r="H147" s="28" t="str">
        <f ca="1"/>
        <v>ZZZZZ@@@@@@@@@@@@@@@@@@@@@@@@@@@145</v>
      </c>
      <c r="I147" s="28" t="str">
        <f ca="1"/>
        <v>ZZZZZ@@@145</v>
      </c>
      <c r="J147" s="28" t="e">
        <f ca="1"/>
        <v>#NAME?</v>
      </c>
      <c r="K147" s="28" t="e">
        <f ca="1"/>
        <v>#NAME?</v>
      </c>
      <c r="L147" s="28" t="e">
        <f ca="1"/>
        <v>#NAME?</v>
      </c>
      <c r="M147" s="28" t="e">
        <f ca="1"/>
        <v>#NAME?</v>
      </c>
      <c r="N147" t="e">
        <f ca="1"/>
        <v>#NAME?</v>
      </c>
      <c r="O147" t="e">
        <f ca="1"/>
        <v>#NAME?</v>
      </c>
      <c r="P147" t="str">
        <f ca="1"/>
        <v/>
      </c>
      <c r="Q147" t="str">
        <f ca="1"/>
        <v/>
      </c>
      <c r="R147">
        <f ca="1"/>
        <v>12</v>
      </c>
      <c r="S147" t="str">
        <f ca="1"/>
        <v>ZZZZZ</v>
      </c>
      <c r="T147" t="str">
        <f ca="1"/>
        <v>ZZZZZ</v>
      </c>
      <c r="U147" t="e">
        <f ca="1"/>
        <v>#NAME?</v>
      </c>
      <c r="V147" t="e">
        <f ca="1"/>
        <v>#NAME?</v>
      </c>
      <c r="W147" t="e">
        <f ca="1"/>
        <v>#NAME?</v>
      </c>
      <c r="X147" t="e">
        <f ca="1"/>
        <v>#NAME?</v>
      </c>
      <c r="Y147" t="e" cm="1">
        <f t="array" aca="1" ref="Y147" ca="1">IF(W147&lt;&gt;"", SUMPRODUCT( (input!H:H=tipos_eqs!W147)*1 ), "")</f>
        <v>#NAME?</v>
      </c>
      <c r="Z147" t="e">
        <f ca="1"/>
        <v>#NAME?</v>
      </c>
      <c r="AC147" t="str">
        <f t="shared" ca="1" si="10"/>
        <v/>
      </c>
      <c r="AD147" t="e">
        <f t="shared" ca="1" si="8"/>
        <v>#NAME?</v>
      </c>
      <c r="AE147" t="e">
        <f t="shared" ca="1" si="9"/>
        <v>#NAME?</v>
      </c>
    </row>
    <row r="148" spans="1:31" x14ac:dyDescent="0.3">
      <c r="A148" s="26">
        <f ca="1"/>
        <v>146</v>
      </c>
      <c r="B148" s="28"/>
      <c r="C148" s="28"/>
      <c r="D148" s="31" t="str">
        <f ca="1"/>
        <v>1100</v>
      </c>
      <c r="F148">
        <f ca="1"/>
        <v>0</v>
      </c>
      <c r="G148">
        <f ca="1"/>
        <v>0</v>
      </c>
      <c r="H148" s="28" t="str">
        <f ca="1"/>
        <v>ZZZZZ@@@@@@@@@@@@@@@@@@@@@@@@@@@146</v>
      </c>
      <c r="I148" s="28" t="str">
        <f ca="1"/>
        <v>ZZZZZ@@@146</v>
      </c>
      <c r="J148" s="28" t="e">
        <f ca="1"/>
        <v>#NAME?</v>
      </c>
      <c r="K148" s="28" t="e">
        <f ca="1"/>
        <v>#NAME?</v>
      </c>
      <c r="L148" s="28" t="e">
        <f ca="1"/>
        <v>#NAME?</v>
      </c>
      <c r="M148" s="28" t="e">
        <f ca="1"/>
        <v>#NAME?</v>
      </c>
      <c r="N148" t="e">
        <f ca="1"/>
        <v>#NAME?</v>
      </c>
      <c r="O148" t="e">
        <f ca="1"/>
        <v>#NAME?</v>
      </c>
      <c r="P148" t="str">
        <f ca="1"/>
        <v/>
      </c>
      <c r="Q148" t="str">
        <f ca="1"/>
        <v/>
      </c>
      <c r="R148">
        <f ca="1"/>
        <v>12</v>
      </c>
      <c r="S148" t="str">
        <f ca="1"/>
        <v>ZZZZZ</v>
      </c>
      <c r="T148" t="str">
        <f ca="1"/>
        <v>ZZZZZ</v>
      </c>
      <c r="U148" t="e">
        <f ca="1"/>
        <v>#NAME?</v>
      </c>
      <c r="V148" t="e">
        <f ca="1"/>
        <v>#NAME?</v>
      </c>
      <c r="W148" t="e">
        <f ca="1"/>
        <v>#NAME?</v>
      </c>
      <c r="X148" t="e">
        <f ca="1"/>
        <v>#NAME?</v>
      </c>
      <c r="Y148" t="e" cm="1">
        <f t="array" aca="1" ref="Y148" ca="1">IF(W148&lt;&gt;"", SUMPRODUCT( (input!H:H=tipos_eqs!W148)*1 ), "")</f>
        <v>#NAME?</v>
      </c>
      <c r="Z148" t="e">
        <f ca="1"/>
        <v>#NAME?</v>
      </c>
      <c r="AC148" t="str">
        <f t="shared" ca="1" si="10"/>
        <v/>
      </c>
      <c r="AD148" t="e">
        <f t="shared" ca="1" si="8"/>
        <v>#NAME?</v>
      </c>
      <c r="AE148" t="e">
        <f t="shared" ca="1" si="9"/>
        <v>#NAME?</v>
      </c>
    </row>
    <row r="149" spans="1:31" x14ac:dyDescent="0.3">
      <c r="A149" s="26">
        <f ca="1"/>
        <v>147</v>
      </c>
      <c r="B149" s="28"/>
      <c r="C149" s="28"/>
      <c r="D149" s="31" t="str">
        <f ca="1"/>
        <v>1100</v>
      </c>
      <c r="F149">
        <f ca="1"/>
        <v>0</v>
      </c>
      <c r="G149">
        <f ca="1"/>
        <v>0</v>
      </c>
      <c r="H149" s="28" t="str">
        <f ca="1"/>
        <v>ZZZZZ@@@@@@@@@@@@@@@@@@@@@@@@@@@147</v>
      </c>
      <c r="I149" s="28" t="str">
        <f ca="1"/>
        <v>ZZZZZ@@@147</v>
      </c>
      <c r="J149" s="28" t="e">
        <f ca="1"/>
        <v>#NAME?</v>
      </c>
      <c r="K149" s="28" t="e">
        <f ca="1"/>
        <v>#NAME?</v>
      </c>
      <c r="L149" s="28" t="e">
        <f ca="1"/>
        <v>#NAME?</v>
      </c>
      <c r="M149" s="28" t="e">
        <f ca="1"/>
        <v>#NAME?</v>
      </c>
      <c r="N149" t="e">
        <f ca="1"/>
        <v>#NAME?</v>
      </c>
      <c r="O149" t="e">
        <f ca="1"/>
        <v>#NAME?</v>
      </c>
      <c r="P149" t="str">
        <f ca="1"/>
        <v/>
      </c>
      <c r="Q149" t="str">
        <f ca="1"/>
        <v/>
      </c>
      <c r="R149">
        <f ca="1"/>
        <v>12</v>
      </c>
      <c r="S149" t="str">
        <f ca="1"/>
        <v>ZZZZZ</v>
      </c>
      <c r="T149" t="str">
        <f ca="1"/>
        <v>ZZZZZ</v>
      </c>
      <c r="U149" t="e">
        <f ca="1"/>
        <v>#NAME?</v>
      </c>
      <c r="V149" t="e">
        <f ca="1"/>
        <v>#NAME?</v>
      </c>
      <c r="W149" t="e">
        <f ca="1"/>
        <v>#NAME?</v>
      </c>
      <c r="X149" t="e">
        <f ca="1"/>
        <v>#NAME?</v>
      </c>
      <c r="Y149" t="e" cm="1">
        <f t="array" aca="1" ref="Y149" ca="1">IF(W149&lt;&gt;"", SUMPRODUCT( (input!H:H=tipos_eqs!W149)*1 ), "")</f>
        <v>#NAME?</v>
      </c>
      <c r="Z149" t="e">
        <f ca="1"/>
        <v>#NAME?</v>
      </c>
      <c r="AC149" t="str">
        <f t="shared" ca="1" si="10"/>
        <v/>
      </c>
      <c r="AD149" t="e">
        <f t="shared" ca="1" si="8"/>
        <v>#NAME?</v>
      </c>
      <c r="AE149" t="e">
        <f t="shared" ca="1" si="9"/>
        <v>#NAME?</v>
      </c>
    </row>
    <row r="150" spans="1:31" x14ac:dyDescent="0.3">
      <c r="A150" s="26">
        <f ca="1"/>
        <v>148</v>
      </c>
      <c r="B150" s="28"/>
      <c r="C150" s="28"/>
      <c r="D150" s="31" t="str">
        <f ca="1"/>
        <v>1100</v>
      </c>
      <c r="F150">
        <f ca="1"/>
        <v>0</v>
      </c>
      <c r="G150">
        <f ca="1"/>
        <v>0</v>
      </c>
      <c r="H150" s="28" t="str">
        <f ca="1"/>
        <v>ZZZZZ@@@@@@@@@@@@@@@@@@@@@@@@@@@148</v>
      </c>
      <c r="I150" s="28" t="str">
        <f ca="1"/>
        <v>ZZZZZ@@@148</v>
      </c>
      <c r="J150" s="28" t="e">
        <f ca="1"/>
        <v>#NAME?</v>
      </c>
      <c r="K150" s="28" t="e">
        <f ca="1"/>
        <v>#NAME?</v>
      </c>
      <c r="L150" s="28" t="e">
        <f ca="1"/>
        <v>#NAME?</v>
      </c>
      <c r="M150" s="28" t="e">
        <f ca="1"/>
        <v>#NAME?</v>
      </c>
      <c r="N150" t="e">
        <f ca="1"/>
        <v>#NAME?</v>
      </c>
      <c r="O150" t="e">
        <f ca="1"/>
        <v>#NAME?</v>
      </c>
      <c r="P150" t="str">
        <f ca="1"/>
        <v/>
      </c>
      <c r="Q150" t="str">
        <f ca="1"/>
        <v/>
      </c>
      <c r="R150">
        <f ca="1"/>
        <v>12</v>
      </c>
      <c r="S150" t="str">
        <f ca="1"/>
        <v>ZZZZZ</v>
      </c>
      <c r="T150" t="str">
        <f ca="1"/>
        <v>ZZZZZ</v>
      </c>
      <c r="U150" t="e">
        <f ca="1"/>
        <v>#NAME?</v>
      </c>
      <c r="V150" t="e">
        <f ca="1"/>
        <v>#NAME?</v>
      </c>
      <c r="W150" t="e">
        <f ca="1"/>
        <v>#NAME?</v>
      </c>
      <c r="X150" t="e">
        <f ca="1"/>
        <v>#NAME?</v>
      </c>
      <c r="Y150" t="e" cm="1">
        <f t="array" aca="1" ref="Y150" ca="1">IF(W150&lt;&gt;"", SUMPRODUCT( (input!H:H=tipos_eqs!W150)*1 ), "")</f>
        <v>#NAME?</v>
      </c>
      <c r="Z150" t="e">
        <f ca="1"/>
        <v>#NAME?</v>
      </c>
      <c r="AC150" t="str">
        <f t="shared" ca="1" si="10"/>
        <v/>
      </c>
      <c r="AD150" t="e">
        <f t="shared" ca="1" si="8"/>
        <v>#NAME?</v>
      </c>
      <c r="AE150" t="e">
        <f t="shared" ca="1" si="9"/>
        <v>#NAME?</v>
      </c>
    </row>
    <row r="151" spans="1:31" x14ac:dyDescent="0.3">
      <c r="A151" s="26">
        <f ca="1"/>
        <v>149</v>
      </c>
      <c r="B151" s="28"/>
      <c r="C151" s="28"/>
      <c r="D151" s="31" t="str">
        <f ca="1"/>
        <v>1100</v>
      </c>
      <c r="F151">
        <f ca="1"/>
        <v>0</v>
      </c>
      <c r="G151">
        <f ca="1"/>
        <v>0</v>
      </c>
      <c r="H151" s="28" t="str">
        <f ca="1"/>
        <v>ZZZZZ@@@@@@@@@@@@@@@@@@@@@@@@@@@149</v>
      </c>
      <c r="I151" s="28" t="str">
        <f ca="1"/>
        <v>ZZZZZ@@@149</v>
      </c>
      <c r="J151" s="28" t="e">
        <f ca="1"/>
        <v>#NAME?</v>
      </c>
      <c r="K151" s="28" t="e">
        <f ca="1"/>
        <v>#NAME?</v>
      </c>
      <c r="L151" s="28" t="e">
        <f ca="1"/>
        <v>#NAME?</v>
      </c>
      <c r="M151" s="28" t="e">
        <f ca="1"/>
        <v>#NAME?</v>
      </c>
      <c r="N151" t="e">
        <f ca="1"/>
        <v>#NAME?</v>
      </c>
      <c r="O151" t="e">
        <f ca="1"/>
        <v>#NAME?</v>
      </c>
      <c r="P151" t="str">
        <f ca="1"/>
        <v/>
      </c>
      <c r="Q151" t="str">
        <f ca="1"/>
        <v/>
      </c>
      <c r="R151">
        <f ca="1"/>
        <v>12</v>
      </c>
      <c r="S151" t="str">
        <f ca="1"/>
        <v>ZZZZZ</v>
      </c>
      <c r="T151" t="str">
        <f ca="1"/>
        <v>ZZZZZ</v>
      </c>
      <c r="U151" t="e">
        <f ca="1"/>
        <v>#NAME?</v>
      </c>
      <c r="V151" t="e">
        <f ca="1"/>
        <v>#NAME?</v>
      </c>
      <c r="W151" t="e">
        <f ca="1"/>
        <v>#NAME?</v>
      </c>
      <c r="X151" t="e">
        <f ca="1"/>
        <v>#NAME?</v>
      </c>
      <c r="Y151" t="e" cm="1">
        <f t="array" aca="1" ref="Y151" ca="1">IF(W151&lt;&gt;"", SUMPRODUCT( (input!H:H=tipos_eqs!W151)*1 ), "")</f>
        <v>#NAME?</v>
      </c>
      <c r="Z151" t="e">
        <f ca="1"/>
        <v>#NAME?</v>
      </c>
      <c r="AC151" t="str">
        <f t="shared" ca="1" si="10"/>
        <v/>
      </c>
      <c r="AD151" t="e">
        <f t="shared" ca="1" si="8"/>
        <v>#NAME?</v>
      </c>
      <c r="AE151" t="e">
        <f t="shared" ca="1" si="9"/>
        <v>#NAME?</v>
      </c>
    </row>
    <row r="152" spans="1:31" x14ac:dyDescent="0.3">
      <c r="A152" s="26">
        <f ca="1"/>
        <v>150</v>
      </c>
      <c r="B152" s="28"/>
      <c r="C152" s="28"/>
      <c r="D152" s="31" t="str">
        <f ca="1"/>
        <v>1100</v>
      </c>
      <c r="F152">
        <f ca="1"/>
        <v>0</v>
      </c>
      <c r="G152">
        <f ca="1"/>
        <v>0</v>
      </c>
      <c r="H152" s="28" t="str">
        <f ca="1"/>
        <v>ZZZZZ@@@@@@@@@@@@@@@@@@@@@@@@@@@150</v>
      </c>
      <c r="I152" s="28" t="str">
        <f ca="1"/>
        <v>ZZZZZ@@@150</v>
      </c>
      <c r="J152" s="28" t="e">
        <f ca="1"/>
        <v>#NAME?</v>
      </c>
      <c r="K152" s="28" t="e">
        <f ca="1"/>
        <v>#NAME?</v>
      </c>
      <c r="L152" s="28" t="e">
        <f ca="1"/>
        <v>#NAME?</v>
      </c>
      <c r="M152" s="28" t="e">
        <f ca="1"/>
        <v>#NAME?</v>
      </c>
      <c r="N152" t="e">
        <f ca="1"/>
        <v>#NAME?</v>
      </c>
      <c r="O152" t="e">
        <f ca="1"/>
        <v>#NAME?</v>
      </c>
      <c r="P152" t="str">
        <f ca="1"/>
        <v/>
      </c>
      <c r="Q152" t="str">
        <f ca="1"/>
        <v/>
      </c>
      <c r="R152">
        <f ca="1"/>
        <v>12</v>
      </c>
      <c r="S152" t="str">
        <f ca="1"/>
        <v>ZZZZZ</v>
      </c>
      <c r="T152" t="str">
        <f ca="1"/>
        <v>ZZZZZ</v>
      </c>
      <c r="U152" t="e">
        <f ca="1"/>
        <v>#NAME?</v>
      </c>
      <c r="V152" t="e">
        <f ca="1"/>
        <v>#NAME?</v>
      </c>
      <c r="W152" t="e">
        <f ca="1"/>
        <v>#NAME?</v>
      </c>
      <c r="X152" t="e">
        <f ca="1"/>
        <v>#NAME?</v>
      </c>
      <c r="Y152" t="e" cm="1">
        <f t="array" aca="1" ref="Y152" ca="1">IF(W152&lt;&gt;"", SUMPRODUCT( (input!H:H=tipos_eqs!W152)*1 ), "")</f>
        <v>#NAME?</v>
      </c>
      <c r="Z152" t="e">
        <f ca="1"/>
        <v>#NAME?</v>
      </c>
      <c r="AC152" t="str">
        <f t="shared" ca="1" si="10"/>
        <v/>
      </c>
      <c r="AD152" t="e">
        <f t="shared" ca="1" si="8"/>
        <v>#NAME?</v>
      </c>
      <c r="AE152" t="e">
        <f t="shared" ca="1" si="9"/>
        <v>#NAME?</v>
      </c>
    </row>
    <row r="153" spans="1:31" x14ac:dyDescent="0.3">
      <c r="A153" s="26">
        <f ca="1"/>
        <v>151</v>
      </c>
      <c r="B153" s="28"/>
      <c r="C153" s="28"/>
      <c r="D153" s="31" t="str">
        <f ca="1"/>
        <v>1100</v>
      </c>
      <c r="F153">
        <f ca="1"/>
        <v>0</v>
      </c>
      <c r="G153">
        <f ca="1"/>
        <v>0</v>
      </c>
      <c r="H153" s="28" t="str">
        <f ca="1"/>
        <v>ZZZZZ@@@@@@@@@@@@@@@@@@@@@@@@@@@151</v>
      </c>
      <c r="I153" s="28" t="str">
        <f ca="1"/>
        <v>ZZZZZ@@@151</v>
      </c>
      <c r="J153" s="28" t="e">
        <f ca="1"/>
        <v>#NAME?</v>
      </c>
      <c r="K153" s="28" t="e">
        <f ca="1"/>
        <v>#NAME?</v>
      </c>
      <c r="L153" s="28" t="e">
        <f ca="1"/>
        <v>#NAME?</v>
      </c>
      <c r="M153" s="28" t="e">
        <f ca="1"/>
        <v>#NAME?</v>
      </c>
      <c r="N153" t="e">
        <f ca="1"/>
        <v>#NAME?</v>
      </c>
      <c r="O153" t="e">
        <f ca="1"/>
        <v>#NAME?</v>
      </c>
      <c r="P153" t="str">
        <f ca="1"/>
        <v/>
      </c>
      <c r="Q153" t="str">
        <f ca="1"/>
        <v/>
      </c>
      <c r="R153">
        <f ca="1"/>
        <v>12</v>
      </c>
      <c r="S153" t="str">
        <f ca="1"/>
        <v>ZZZZZ</v>
      </c>
      <c r="T153" t="str">
        <f ca="1"/>
        <v>ZZZZZ</v>
      </c>
      <c r="U153" t="e">
        <f ca="1"/>
        <v>#NAME?</v>
      </c>
      <c r="V153" t="e">
        <f ca="1"/>
        <v>#NAME?</v>
      </c>
      <c r="W153" t="e">
        <f ca="1"/>
        <v>#NAME?</v>
      </c>
      <c r="X153" t="e">
        <f ca="1"/>
        <v>#NAME?</v>
      </c>
      <c r="Y153" t="e" cm="1">
        <f t="array" aca="1" ref="Y153" ca="1">IF(W153&lt;&gt;"", SUMPRODUCT( (input!H:H=tipos_eqs!W153)*1 ), "")</f>
        <v>#NAME?</v>
      </c>
      <c r="Z153" t="e">
        <f ca="1"/>
        <v>#NAME?</v>
      </c>
      <c r="AC153" t="str">
        <f t="shared" ca="1" si="10"/>
        <v/>
      </c>
      <c r="AD153" t="e">
        <f t="shared" ca="1" si="8"/>
        <v>#NAME?</v>
      </c>
      <c r="AE153" t="e">
        <f t="shared" ca="1" si="9"/>
        <v>#NAME?</v>
      </c>
    </row>
    <row r="154" spans="1:31" x14ac:dyDescent="0.3">
      <c r="A154" s="26">
        <f ca="1"/>
        <v>152</v>
      </c>
      <c r="B154" s="28"/>
      <c r="C154" s="28"/>
      <c r="D154" s="31" t="str">
        <f ca="1"/>
        <v>1100</v>
      </c>
      <c r="F154">
        <f ca="1"/>
        <v>0</v>
      </c>
      <c r="G154">
        <f ca="1"/>
        <v>0</v>
      </c>
      <c r="H154" s="28" t="str">
        <f ca="1"/>
        <v>ZZZZZ@@@@@@@@@@@@@@@@@@@@@@@@@@@152</v>
      </c>
      <c r="I154" s="28" t="str">
        <f ca="1"/>
        <v>ZZZZZ@@@152</v>
      </c>
      <c r="J154" s="28" t="e">
        <f ca="1"/>
        <v>#NAME?</v>
      </c>
      <c r="K154" s="28" t="e">
        <f ca="1"/>
        <v>#NAME?</v>
      </c>
      <c r="L154" s="28" t="e">
        <f ca="1"/>
        <v>#NAME?</v>
      </c>
      <c r="M154" s="28" t="e">
        <f ca="1"/>
        <v>#NAME?</v>
      </c>
      <c r="N154" t="e">
        <f ca="1"/>
        <v>#NAME?</v>
      </c>
      <c r="O154" t="e">
        <f ca="1"/>
        <v>#NAME?</v>
      </c>
      <c r="P154" t="str">
        <f ca="1"/>
        <v/>
      </c>
      <c r="Q154" t="str">
        <f ca="1"/>
        <v/>
      </c>
      <c r="R154">
        <f ca="1"/>
        <v>12</v>
      </c>
      <c r="S154" t="str">
        <f ca="1"/>
        <v>ZZZZZ</v>
      </c>
      <c r="T154" t="str">
        <f ca="1"/>
        <v>ZZZZZ</v>
      </c>
      <c r="U154" t="e">
        <f ca="1"/>
        <v>#NAME?</v>
      </c>
      <c r="V154" t="e">
        <f ca="1"/>
        <v>#NAME?</v>
      </c>
      <c r="W154" t="e">
        <f ca="1"/>
        <v>#NAME?</v>
      </c>
      <c r="X154" t="e">
        <f ca="1"/>
        <v>#NAME?</v>
      </c>
      <c r="Y154" t="e" cm="1">
        <f t="array" aca="1" ref="Y154" ca="1">IF(W154&lt;&gt;"", SUMPRODUCT( (input!H:H=tipos_eqs!W154)*1 ), "")</f>
        <v>#NAME?</v>
      </c>
      <c r="Z154" t="e">
        <f ca="1"/>
        <v>#NAME?</v>
      </c>
      <c r="AC154" t="str">
        <f t="shared" ca="1" si="10"/>
        <v/>
      </c>
      <c r="AD154" t="e">
        <f t="shared" ca="1" si="8"/>
        <v>#NAME?</v>
      </c>
      <c r="AE154" t="e">
        <f t="shared" ca="1" si="9"/>
        <v>#NAME?</v>
      </c>
    </row>
    <row r="155" spans="1:31" x14ac:dyDescent="0.3">
      <c r="A155" s="26">
        <f ca="1"/>
        <v>153</v>
      </c>
      <c r="B155" s="28"/>
      <c r="C155" s="28"/>
      <c r="D155" s="31" t="str">
        <f ca="1"/>
        <v>1100</v>
      </c>
      <c r="F155">
        <f ca="1"/>
        <v>0</v>
      </c>
      <c r="G155">
        <f ca="1"/>
        <v>0</v>
      </c>
      <c r="H155" s="28" t="str">
        <f ca="1"/>
        <v>ZZZZZ@@@@@@@@@@@@@@@@@@@@@@@@@@@153</v>
      </c>
      <c r="I155" s="28" t="str">
        <f ca="1"/>
        <v>ZZZZZ@@@153</v>
      </c>
      <c r="J155" s="28" t="e">
        <f ca="1"/>
        <v>#NAME?</v>
      </c>
      <c r="K155" s="28" t="e">
        <f ca="1"/>
        <v>#NAME?</v>
      </c>
      <c r="L155" s="28" t="e">
        <f ca="1"/>
        <v>#NAME?</v>
      </c>
      <c r="M155" s="28" t="e">
        <f ca="1"/>
        <v>#NAME?</v>
      </c>
      <c r="N155" t="e">
        <f ca="1"/>
        <v>#NAME?</v>
      </c>
      <c r="O155" t="e">
        <f ca="1"/>
        <v>#NAME?</v>
      </c>
      <c r="P155" t="str">
        <f ca="1"/>
        <v/>
      </c>
      <c r="Q155" t="str">
        <f ca="1"/>
        <v/>
      </c>
      <c r="R155">
        <f ca="1"/>
        <v>12</v>
      </c>
      <c r="S155" t="str">
        <f ca="1"/>
        <v>ZZZZZ</v>
      </c>
      <c r="T155" t="str">
        <f ca="1"/>
        <v>ZZZZZ</v>
      </c>
      <c r="U155" t="e">
        <f ca="1"/>
        <v>#NAME?</v>
      </c>
      <c r="V155" t="e">
        <f ca="1"/>
        <v>#NAME?</v>
      </c>
      <c r="W155" t="e">
        <f ca="1"/>
        <v>#NAME?</v>
      </c>
      <c r="X155" t="e">
        <f ca="1"/>
        <v>#NAME?</v>
      </c>
      <c r="Y155" t="e" cm="1">
        <f t="array" aca="1" ref="Y155" ca="1">IF(W155&lt;&gt;"", SUMPRODUCT( (input!H:H=tipos_eqs!W155)*1 ), "")</f>
        <v>#NAME?</v>
      </c>
      <c r="Z155" t="e">
        <f ca="1"/>
        <v>#NAME?</v>
      </c>
      <c r="AC155" t="str">
        <f t="shared" ca="1" si="10"/>
        <v/>
      </c>
      <c r="AD155" t="e">
        <f t="shared" ca="1" si="8"/>
        <v>#NAME?</v>
      </c>
      <c r="AE155" t="e">
        <f t="shared" ca="1" si="9"/>
        <v>#NAME?</v>
      </c>
    </row>
    <row r="156" spans="1:31" x14ac:dyDescent="0.3">
      <c r="A156" s="26">
        <f ca="1"/>
        <v>154</v>
      </c>
      <c r="B156" s="28"/>
      <c r="C156" s="28"/>
      <c r="D156" s="31" t="str">
        <f ca="1"/>
        <v>1100</v>
      </c>
      <c r="F156">
        <f ca="1"/>
        <v>0</v>
      </c>
      <c r="G156">
        <f ca="1"/>
        <v>0</v>
      </c>
      <c r="H156" s="28" t="str">
        <f ca="1"/>
        <v>ZZZZZ@@@@@@@@@@@@@@@@@@@@@@@@@@@154</v>
      </c>
      <c r="I156" s="28" t="str">
        <f ca="1"/>
        <v>ZZZZZ@@@154</v>
      </c>
      <c r="J156" s="28" t="e">
        <f ca="1"/>
        <v>#NAME?</v>
      </c>
      <c r="K156" s="28" t="e">
        <f ca="1"/>
        <v>#NAME?</v>
      </c>
      <c r="L156" s="28" t="e">
        <f ca="1"/>
        <v>#NAME?</v>
      </c>
      <c r="M156" s="28" t="e">
        <f ca="1"/>
        <v>#NAME?</v>
      </c>
      <c r="N156" t="e">
        <f ca="1"/>
        <v>#NAME?</v>
      </c>
      <c r="O156" t="e">
        <f ca="1"/>
        <v>#NAME?</v>
      </c>
      <c r="P156" t="str">
        <f ca="1"/>
        <v/>
      </c>
      <c r="Q156" t="str">
        <f ca="1"/>
        <v/>
      </c>
      <c r="R156">
        <f ca="1"/>
        <v>12</v>
      </c>
      <c r="S156" t="str">
        <f ca="1"/>
        <v>ZZZZZ</v>
      </c>
      <c r="T156" t="str">
        <f ca="1"/>
        <v>ZZZZZ</v>
      </c>
      <c r="U156" t="e">
        <f ca="1"/>
        <v>#NAME?</v>
      </c>
      <c r="V156" t="e">
        <f ca="1"/>
        <v>#NAME?</v>
      </c>
      <c r="W156" t="e">
        <f ca="1"/>
        <v>#NAME?</v>
      </c>
      <c r="X156" t="e">
        <f ca="1"/>
        <v>#NAME?</v>
      </c>
      <c r="Y156" t="e" cm="1">
        <f t="array" aca="1" ref="Y156" ca="1">IF(W156&lt;&gt;"", SUMPRODUCT( (input!H:H=tipos_eqs!W156)*1 ), "")</f>
        <v>#NAME?</v>
      </c>
      <c r="Z156" t="e">
        <f ca="1"/>
        <v>#NAME?</v>
      </c>
      <c r="AC156" t="str">
        <f t="shared" ca="1" si="10"/>
        <v/>
      </c>
      <c r="AD156" t="e">
        <f t="shared" ca="1" si="8"/>
        <v>#NAME?</v>
      </c>
      <c r="AE156" t="e">
        <f t="shared" ca="1" si="9"/>
        <v>#NAME?</v>
      </c>
    </row>
    <row r="157" spans="1:31" x14ac:dyDescent="0.3">
      <c r="A157" s="26">
        <f ca="1"/>
        <v>155</v>
      </c>
      <c r="B157" s="28"/>
      <c r="C157" s="28"/>
      <c r="D157" s="31" t="str">
        <f ca="1"/>
        <v>1100</v>
      </c>
      <c r="F157">
        <f ca="1"/>
        <v>0</v>
      </c>
      <c r="G157">
        <f ca="1"/>
        <v>0</v>
      </c>
      <c r="H157" s="28" t="str">
        <f ca="1"/>
        <v>ZZZZZ@@@@@@@@@@@@@@@@@@@@@@@@@@@155</v>
      </c>
      <c r="I157" s="28" t="str">
        <f ca="1"/>
        <v>ZZZZZ@@@155</v>
      </c>
      <c r="J157" s="28" t="e">
        <f ca="1"/>
        <v>#NAME?</v>
      </c>
      <c r="K157" s="28" t="e">
        <f ca="1"/>
        <v>#NAME?</v>
      </c>
      <c r="L157" s="28" t="e">
        <f ca="1"/>
        <v>#NAME?</v>
      </c>
      <c r="M157" s="28" t="e">
        <f ca="1"/>
        <v>#NAME?</v>
      </c>
      <c r="N157" t="e">
        <f ca="1"/>
        <v>#NAME?</v>
      </c>
      <c r="O157" t="e">
        <f ca="1"/>
        <v>#NAME?</v>
      </c>
      <c r="P157" t="str">
        <f ca="1"/>
        <v/>
      </c>
      <c r="Q157" t="str">
        <f ca="1"/>
        <v/>
      </c>
      <c r="R157">
        <f ca="1"/>
        <v>12</v>
      </c>
      <c r="S157" t="str">
        <f ca="1"/>
        <v>ZZZZZ</v>
      </c>
      <c r="T157" t="str">
        <f ca="1"/>
        <v>ZZZZZ</v>
      </c>
      <c r="U157" t="e">
        <f ca="1"/>
        <v>#NAME?</v>
      </c>
      <c r="V157" t="e">
        <f ca="1"/>
        <v>#NAME?</v>
      </c>
      <c r="W157" t="e">
        <f ca="1"/>
        <v>#NAME?</v>
      </c>
      <c r="X157" t="e">
        <f ca="1"/>
        <v>#NAME?</v>
      </c>
      <c r="Y157" t="e" cm="1">
        <f t="array" aca="1" ref="Y157" ca="1">IF(W157&lt;&gt;"", SUMPRODUCT( (input!H:H=tipos_eqs!W157)*1 ), "")</f>
        <v>#NAME?</v>
      </c>
      <c r="Z157" t="e">
        <f ca="1"/>
        <v>#NAME?</v>
      </c>
      <c r="AC157" t="str">
        <f t="shared" ca="1" si="10"/>
        <v/>
      </c>
      <c r="AD157" t="e">
        <f t="shared" ca="1" si="8"/>
        <v>#NAME?</v>
      </c>
      <c r="AE157" t="e">
        <f t="shared" ca="1" si="9"/>
        <v>#NAME?</v>
      </c>
    </row>
    <row r="158" spans="1:31" x14ac:dyDescent="0.3">
      <c r="A158" s="26">
        <f ca="1"/>
        <v>156</v>
      </c>
      <c r="B158" s="28"/>
      <c r="C158" s="28"/>
      <c r="D158" s="31" t="str">
        <f ca="1"/>
        <v>1100</v>
      </c>
      <c r="F158">
        <f ca="1"/>
        <v>0</v>
      </c>
      <c r="G158">
        <f ca="1"/>
        <v>0</v>
      </c>
      <c r="H158" s="28" t="str">
        <f ca="1"/>
        <v>ZZZZZ@@@@@@@@@@@@@@@@@@@@@@@@@@@156</v>
      </c>
      <c r="I158" s="28" t="str">
        <f ca="1"/>
        <v>ZZZZZ@@@156</v>
      </c>
      <c r="J158" s="28" t="e">
        <f ca="1"/>
        <v>#NAME?</v>
      </c>
      <c r="K158" s="28" t="e">
        <f ca="1"/>
        <v>#NAME?</v>
      </c>
      <c r="L158" s="28" t="e">
        <f ca="1"/>
        <v>#NAME?</v>
      </c>
      <c r="M158" s="28" t="e">
        <f ca="1"/>
        <v>#NAME?</v>
      </c>
      <c r="N158" t="e">
        <f ca="1"/>
        <v>#NAME?</v>
      </c>
      <c r="O158" t="e">
        <f ca="1"/>
        <v>#NAME?</v>
      </c>
      <c r="P158" t="str">
        <f ca="1"/>
        <v/>
      </c>
      <c r="Q158" t="str">
        <f ca="1"/>
        <v/>
      </c>
      <c r="R158">
        <f ca="1"/>
        <v>12</v>
      </c>
      <c r="S158" t="str">
        <f ca="1"/>
        <v>ZZZZZ</v>
      </c>
      <c r="T158" t="str">
        <f ca="1"/>
        <v>ZZZZZ</v>
      </c>
      <c r="U158" t="e">
        <f ca="1"/>
        <v>#NAME?</v>
      </c>
      <c r="V158" t="e">
        <f ca="1"/>
        <v>#NAME?</v>
      </c>
      <c r="W158" t="e">
        <f ca="1"/>
        <v>#NAME?</v>
      </c>
      <c r="X158" t="e">
        <f ca="1"/>
        <v>#NAME?</v>
      </c>
      <c r="Y158" t="e" cm="1">
        <f t="array" aca="1" ref="Y158" ca="1">IF(W158&lt;&gt;"", SUMPRODUCT( (input!H:H=tipos_eqs!W158)*1 ), "")</f>
        <v>#NAME?</v>
      </c>
      <c r="Z158" t="e">
        <f ca="1"/>
        <v>#NAME?</v>
      </c>
      <c r="AC158" t="str">
        <f t="shared" ca="1" si="10"/>
        <v/>
      </c>
      <c r="AD158" t="e">
        <f t="shared" ca="1" si="8"/>
        <v>#NAME?</v>
      </c>
      <c r="AE158" t="e">
        <f t="shared" ca="1" si="9"/>
        <v>#NAME?</v>
      </c>
    </row>
    <row r="159" spans="1:31" x14ac:dyDescent="0.3">
      <c r="A159" s="26">
        <f ca="1"/>
        <v>157</v>
      </c>
      <c r="B159" s="28"/>
      <c r="C159" s="28"/>
      <c r="D159" s="31" t="str">
        <f ca="1"/>
        <v>1100</v>
      </c>
      <c r="F159">
        <f ca="1"/>
        <v>0</v>
      </c>
      <c r="G159">
        <f ca="1"/>
        <v>0</v>
      </c>
      <c r="H159" s="28" t="str">
        <f ca="1"/>
        <v>ZZZZZ@@@@@@@@@@@@@@@@@@@@@@@@@@@157</v>
      </c>
      <c r="I159" s="28" t="str">
        <f ca="1"/>
        <v>ZZZZZ@@@157</v>
      </c>
      <c r="J159" s="28" t="e">
        <f ca="1"/>
        <v>#NAME?</v>
      </c>
      <c r="K159" s="28" t="e">
        <f ca="1"/>
        <v>#NAME?</v>
      </c>
      <c r="L159" s="28" t="e">
        <f ca="1"/>
        <v>#NAME?</v>
      </c>
      <c r="M159" s="28" t="e">
        <f ca="1"/>
        <v>#NAME?</v>
      </c>
      <c r="N159" t="e">
        <f ca="1"/>
        <v>#NAME?</v>
      </c>
      <c r="O159" t="e">
        <f ca="1"/>
        <v>#NAME?</v>
      </c>
      <c r="P159" t="str">
        <f ca="1"/>
        <v/>
      </c>
      <c r="Q159" t="str">
        <f ca="1"/>
        <v/>
      </c>
      <c r="R159">
        <f ca="1"/>
        <v>12</v>
      </c>
      <c r="S159" t="str">
        <f ca="1"/>
        <v>ZZZZZ</v>
      </c>
      <c r="T159" t="str">
        <f ca="1"/>
        <v>ZZZZZ</v>
      </c>
      <c r="U159" t="e">
        <f ca="1"/>
        <v>#NAME?</v>
      </c>
      <c r="V159" t="e">
        <f ca="1"/>
        <v>#NAME?</v>
      </c>
      <c r="W159" t="e">
        <f ca="1"/>
        <v>#NAME?</v>
      </c>
      <c r="X159" t="e">
        <f ca="1"/>
        <v>#NAME?</v>
      </c>
      <c r="Y159" t="e" cm="1">
        <f t="array" aca="1" ref="Y159" ca="1">IF(W159&lt;&gt;"", SUMPRODUCT( (input!H:H=tipos_eqs!W159)*1 ), "")</f>
        <v>#NAME?</v>
      </c>
      <c r="Z159" t="e">
        <f ca="1"/>
        <v>#NAME?</v>
      </c>
      <c r="AC159" t="str">
        <f t="shared" ca="1" si="10"/>
        <v/>
      </c>
      <c r="AD159" t="e">
        <f t="shared" ca="1" si="8"/>
        <v>#NAME?</v>
      </c>
      <c r="AE159" t="e">
        <f t="shared" ca="1" si="9"/>
        <v>#NAME?</v>
      </c>
    </row>
    <row r="160" spans="1:31" x14ac:dyDescent="0.3">
      <c r="A160" s="26">
        <f ca="1"/>
        <v>158</v>
      </c>
      <c r="B160" s="28"/>
      <c r="C160" s="28"/>
      <c r="D160" s="31" t="str">
        <f ca="1"/>
        <v>1100</v>
      </c>
      <c r="F160">
        <f ca="1"/>
        <v>0</v>
      </c>
      <c r="G160">
        <f ca="1"/>
        <v>0</v>
      </c>
      <c r="H160" s="28" t="str">
        <f ca="1"/>
        <v>ZZZZZ@@@@@@@@@@@@@@@@@@@@@@@@@@@158</v>
      </c>
      <c r="I160" s="28" t="str">
        <f ca="1"/>
        <v>ZZZZZ@@@158</v>
      </c>
      <c r="J160" s="28" t="e">
        <f ca="1"/>
        <v>#NAME?</v>
      </c>
      <c r="K160" s="28" t="e">
        <f ca="1"/>
        <v>#NAME?</v>
      </c>
      <c r="L160" s="28" t="e">
        <f ca="1"/>
        <v>#NAME?</v>
      </c>
      <c r="M160" s="28" t="e">
        <f ca="1"/>
        <v>#NAME?</v>
      </c>
      <c r="N160" t="e">
        <f ca="1"/>
        <v>#NAME?</v>
      </c>
      <c r="O160" t="e">
        <f ca="1"/>
        <v>#NAME?</v>
      </c>
      <c r="P160" t="str">
        <f ca="1"/>
        <v/>
      </c>
      <c r="Q160" t="str">
        <f ca="1"/>
        <v/>
      </c>
      <c r="R160">
        <f ca="1"/>
        <v>12</v>
      </c>
      <c r="S160" t="str">
        <f ca="1"/>
        <v>ZZZZZ</v>
      </c>
      <c r="T160" t="str">
        <f ca="1"/>
        <v>ZZZZZ</v>
      </c>
      <c r="U160" t="e">
        <f ca="1"/>
        <v>#NAME?</v>
      </c>
      <c r="V160" t="e">
        <f ca="1"/>
        <v>#NAME?</v>
      </c>
      <c r="W160" t="e">
        <f ca="1"/>
        <v>#NAME?</v>
      </c>
      <c r="X160" t="e">
        <f ca="1"/>
        <v>#NAME?</v>
      </c>
      <c r="Y160" t="e" cm="1">
        <f t="array" aca="1" ref="Y160" ca="1">IF(W160&lt;&gt;"", SUMPRODUCT( (input!H:H=tipos_eqs!W160)*1 ), "")</f>
        <v>#NAME?</v>
      </c>
      <c r="Z160" t="e">
        <f ca="1"/>
        <v>#NAME?</v>
      </c>
      <c r="AC160" t="str">
        <f t="shared" ca="1" si="10"/>
        <v/>
      </c>
      <c r="AD160" t="e">
        <f t="shared" ca="1" si="8"/>
        <v>#NAME?</v>
      </c>
      <c r="AE160" t="e">
        <f t="shared" ca="1" si="9"/>
        <v>#NAME?</v>
      </c>
    </row>
    <row r="161" spans="1:31" x14ac:dyDescent="0.3">
      <c r="A161" s="26">
        <f ca="1"/>
        <v>159</v>
      </c>
      <c r="B161" s="28"/>
      <c r="C161" s="28"/>
      <c r="D161" s="31" t="str">
        <f ca="1"/>
        <v>1100</v>
      </c>
      <c r="F161">
        <f ca="1"/>
        <v>0</v>
      </c>
      <c r="G161">
        <f ca="1"/>
        <v>0</v>
      </c>
      <c r="H161" s="28" t="str">
        <f ca="1"/>
        <v>ZZZZZ@@@@@@@@@@@@@@@@@@@@@@@@@@@159</v>
      </c>
      <c r="I161" s="28" t="str">
        <f ca="1"/>
        <v>ZZZZZ@@@159</v>
      </c>
      <c r="J161" s="28" t="e">
        <f ca="1"/>
        <v>#NAME?</v>
      </c>
      <c r="K161" s="28" t="e">
        <f ca="1"/>
        <v>#NAME?</v>
      </c>
      <c r="L161" s="28" t="e">
        <f ca="1"/>
        <v>#NAME?</v>
      </c>
      <c r="M161" s="28" t="e">
        <f ca="1"/>
        <v>#NAME?</v>
      </c>
      <c r="N161" t="e">
        <f ca="1"/>
        <v>#NAME?</v>
      </c>
      <c r="O161" t="e">
        <f ca="1"/>
        <v>#NAME?</v>
      </c>
      <c r="P161" t="str">
        <f ca="1"/>
        <v/>
      </c>
      <c r="Q161" t="str">
        <f ca="1"/>
        <v/>
      </c>
      <c r="R161">
        <f ca="1"/>
        <v>12</v>
      </c>
      <c r="S161" t="str">
        <f ca="1"/>
        <v>ZZZZZ</v>
      </c>
      <c r="T161" t="str">
        <f ca="1"/>
        <v>ZZZZZ</v>
      </c>
      <c r="U161" t="e">
        <f ca="1"/>
        <v>#NAME?</v>
      </c>
      <c r="V161" t="e">
        <f ca="1"/>
        <v>#NAME?</v>
      </c>
      <c r="W161" t="e">
        <f ca="1"/>
        <v>#NAME?</v>
      </c>
      <c r="X161" t="e">
        <f ca="1"/>
        <v>#NAME?</v>
      </c>
      <c r="Y161" t="e" cm="1">
        <f t="array" aca="1" ref="Y161" ca="1">IF(W161&lt;&gt;"", SUMPRODUCT( (input!H:H=tipos_eqs!W161)*1 ), "")</f>
        <v>#NAME?</v>
      </c>
      <c r="Z161" t="e">
        <f ca="1"/>
        <v>#NAME?</v>
      </c>
      <c r="AC161" t="str">
        <f t="shared" ca="1" si="10"/>
        <v/>
      </c>
      <c r="AD161" t="e">
        <f t="shared" ca="1" si="8"/>
        <v>#NAME?</v>
      </c>
      <c r="AE161" t="e">
        <f t="shared" ca="1" si="9"/>
        <v>#NAME?</v>
      </c>
    </row>
    <row r="162" spans="1:31" x14ac:dyDescent="0.3">
      <c r="A162" s="26">
        <f ca="1"/>
        <v>160</v>
      </c>
      <c r="B162" s="28"/>
      <c r="C162" s="28"/>
      <c r="D162" s="31" t="str">
        <f ca="1"/>
        <v>1100</v>
      </c>
      <c r="F162">
        <f ca="1"/>
        <v>0</v>
      </c>
      <c r="G162">
        <f ca="1"/>
        <v>0</v>
      </c>
      <c r="H162" s="28" t="str">
        <f ca="1"/>
        <v>ZZZZZ@@@@@@@@@@@@@@@@@@@@@@@@@@@160</v>
      </c>
      <c r="I162" s="28" t="str">
        <f ca="1"/>
        <v>ZZZZZ@@@160</v>
      </c>
      <c r="J162" s="28" t="e">
        <f ca="1"/>
        <v>#NAME?</v>
      </c>
      <c r="K162" s="28" t="e">
        <f ca="1"/>
        <v>#NAME?</v>
      </c>
      <c r="L162" s="28" t="e">
        <f ca="1"/>
        <v>#NAME?</v>
      </c>
      <c r="M162" s="28" t="e">
        <f ca="1"/>
        <v>#NAME?</v>
      </c>
      <c r="N162" t="e">
        <f ca="1"/>
        <v>#NAME?</v>
      </c>
      <c r="O162" t="e">
        <f ca="1"/>
        <v>#NAME?</v>
      </c>
      <c r="P162" t="str">
        <f ca="1"/>
        <v/>
      </c>
      <c r="Q162" t="str">
        <f ca="1"/>
        <v/>
      </c>
      <c r="R162">
        <f ca="1"/>
        <v>12</v>
      </c>
      <c r="S162" t="str">
        <f ca="1"/>
        <v>ZZZZZ</v>
      </c>
      <c r="T162" t="str">
        <f ca="1"/>
        <v>ZZZZZ</v>
      </c>
      <c r="U162" t="e">
        <f ca="1"/>
        <v>#NAME?</v>
      </c>
      <c r="V162" t="e">
        <f ca="1"/>
        <v>#NAME?</v>
      </c>
      <c r="W162" t="e">
        <f ca="1"/>
        <v>#NAME?</v>
      </c>
      <c r="X162" t="e">
        <f ca="1"/>
        <v>#NAME?</v>
      </c>
      <c r="Y162" t="e" cm="1">
        <f t="array" aca="1" ref="Y162" ca="1">IF(W162&lt;&gt;"", SUMPRODUCT( (input!H:H=tipos_eqs!W162)*1 ), "")</f>
        <v>#NAME?</v>
      </c>
      <c r="Z162" t="e">
        <f ca="1"/>
        <v>#NAME?</v>
      </c>
      <c r="AC162" t="str">
        <f t="shared" ca="1" si="10"/>
        <v/>
      </c>
      <c r="AD162" t="e">
        <f t="shared" ca="1" si="8"/>
        <v>#NAME?</v>
      </c>
      <c r="AE162" t="e">
        <f t="shared" ca="1" si="9"/>
        <v>#NAME?</v>
      </c>
    </row>
    <row r="163" spans="1:31" x14ac:dyDescent="0.3">
      <c r="A163" s="26">
        <f ca="1"/>
        <v>161</v>
      </c>
      <c r="B163" s="28"/>
      <c r="C163" s="28"/>
      <c r="D163" s="31" t="str">
        <f ca="1"/>
        <v>1100</v>
      </c>
      <c r="F163">
        <f ca="1"/>
        <v>0</v>
      </c>
      <c r="G163">
        <f ca="1"/>
        <v>0</v>
      </c>
      <c r="H163" s="28" t="str">
        <f ca="1"/>
        <v>ZZZZZ@@@@@@@@@@@@@@@@@@@@@@@@@@@161</v>
      </c>
      <c r="I163" s="28" t="str">
        <f ca="1"/>
        <v>ZZZZZ@@@161</v>
      </c>
      <c r="J163" s="28" t="e">
        <f ca="1"/>
        <v>#NAME?</v>
      </c>
      <c r="K163" s="28" t="e">
        <f ca="1"/>
        <v>#NAME?</v>
      </c>
      <c r="L163" s="28" t="e">
        <f ca="1"/>
        <v>#NAME?</v>
      </c>
      <c r="M163" s="28" t="e">
        <f ca="1"/>
        <v>#NAME?</v>
      </c>
      <c r="N163" t="e">
        <f ca="1"/>
        <v>#NAME?</v>
      </c>
      <c r="O163" t="e">
        <f ca="1"/>
        <v>#NAME?</v>
      </c>
      <c r="P163" t="str">
        <f ca="1"/>
        <v/>
      </c>
      <c r="Q163" t="str">
        <f ca="1"/>
        <v/>
      </c>
      <c r="R163">
        <f ca="1"/>
        <v>12</v>
      </c>
      <c r="S163" t="str">
        <f ca="1"/>
        <v>ZZZZZ</v>
      </c>
      <c r="T163" t="str">
        <f ca="1"/>
        <v>ZZZZZ</v>
      </c>
      <c r="U163" t="e">
        <f ca="1"/>
        <v>#NAME?</v>
      </c>
      <c r="V163" t="e">
        <f ca="1"/>
        <v>#NAME?</v>
      </c>
      <c r="W163" t="e">
        <f ca="1"/>
        <v>#NAME?</v>
      </c>
      <c r="X163" t="e">
        <f ca="1"/>
        <v>#NAME?</v>
      </c>
      <c r="Y163" t="e" cm="1">
        <f t="array" aca="1" ref="Y163" ca="1">IF(W163&lt;&gt;"", SUMPRODUCT( (input!H:H=tipos_eqs!W163)*1 ), "")</f>
        <v>#NAME?</v>
      </c>
      <c r="Z163" t="e">
        <f ca="1"/>
        <v>#NAME?</v>
      </c>
      <c r="AC163" t="str">
        <f t="shared" ca="1" si="10"/>
        <v/>
      </c>
      <c r="AD163" t="e">
        <f t="shared" ca="1" si="8"/>
        <v>#NAME?</v>
      </c>
      <c r="AE163" t="e">
        <f t="shared" ca="1" si="9"/>
        <v>#NAME?</v>
      </c>
    </row>
    <row r="164" spans="1:31" x14ac:dyDescent="0.3">
      <c r="A164" s="26">
        <f ca="1"/>
        <v>162</v>
      </c>
      <c r="B164" s="28"/>
      <c r="C164" s="28"/>
      <c r="D164" s="31" t="str">
        <f ca="1"/>
        <v>1100</v>
      </c>
      <c r="F164">
        <f ca="1"/>
        <v>0</v>
      </c>
      <c r="G164">
        <f ca="1"/>
        <v>0</v>
      </c>
      <c r="H164" s="28" t="str">
        <f ca="1"/>
        <v>ZZZZZ@@@@@@@@@@@@@@@@@@@@@@@@@@@162</v>
      </c>
      <c r="I164" s="28" t="str">
        <f ca="1"/>
        <v>ZZZZZ@@@162</v>
      </c>
      <c r="J164" s="28" t="e">
        <f ca="1"/>
        <v>#NAME?</v>
      </c>
      <c r="K164" s="28" t="e">
        <f ca="1"/>
        <v>#NAME?</v>
      </c>
      <c r="L164" s="28" t="e">
        <f ca="1"/>
        <v>#NAME?</v>
      </c>
      <c r="M164" s="28" t="e">
        <f ca="1"/>
        <v>#NAME?</v>
      </c>
      <c r="N164" t="e">
        <f ca="1"/>
        <v>#NAME?</v>
      </c>
      <c r="O164" t="e">
        <f ca="1"/>
        <v>#NAME?</v>
      </c>
      <c r="P164" t="str">
        <f ca="1"/>
        <v/>
      </c>
      <c r="Q164" t="str">
        <f ca="1"/>
        <v/>
      </c>
      <c r="R164">
        <f ca="1"/>
        <v>12</v>
      </c>
      <c r="S164" t="str">
        <f ca="1"/>
        <v>ZZZZZ</v>
      </c>
      <c r="T164" t="str">
        <f ca="1"/>
        <v>ZZZZZ</v>
      </c>
      <c r="U164" t="e">
        <f ca="1"/>
        <v>#NAME?</v>
      </c>
      <c r="V164" t="e">
        <f ca="1"/>
        <v>#NAME?</v>
      </c>
      <c r="W164" t="e">
        <f ca="1"/>
        <v>#NAME?</v>
      </c>
      <c r="X164" t="e">
        <f ca="1"/>
        <v>#NAME?</v>
      </c>
      <c r="Y164" t="e" cm="1">
        <f t="array" aca="1" ref="Y164" ca="1">IF(W164&lt;&gt;"", SUMPRODUCT( (input!H:H=tipos_eqs!W164)*1 ), "")</f>
        <v>#NAME?</v>
      </c>
      <c r="Z164" t="e">
        <f ca="1"/>
        <v>#NAME?</v>
      </c>
      <c r="AC164" t="str">
        <f t="shared" ca="1" si="10"/>
        <v/>
      </c>
      <c r="AD164" t="e">
        <f t="shared" ref="AD164:AD195" ca="1" si="11">IF(AA164=AA163, AD163 &amp; ", ", "") &amp; AC164</f>
        <v>#NAME?</v>
      </c>
      <c r="AE164" t="e">
        <f t="shared" ca="1" si="9"/>
        <v>#NAME?</v>
      </c>
    </row>
    <row r="165" spans="1:31" x14ac:dyDescent="0.3">
      <c r="A165" s="26">
        <f ca="1"/>
        <v>163</v>
      </c>
      <c r="B165" s="28"/>
      <c r="C165" s="28"/>
      <c r="D165" s="31" t="str">
        <f ca="1"/>
        <v>1100</v>
      </c>
      <c r="F165">
        <f ca="1"/>
        <v>0</v>
      </c>
      <c r="G165">
        <f ca="1"/>
        <v>0</v>
      </c>
      <c r="H165" s="28" t="str">
        <f ca="1"/>
        <v>ZZZZZ@@@@@@@@@@@@@@@@@@@@@@@@@@@163</v>
      </c>
      <c r="I165" s="28" t="str">
        <f ca="1"/>
        <v>ZZZZZ@@@163</v>
      </c>
      <c r="J165" s="28" t="e">
        <f ca="1"/>
        <v>#NAME?</v>
      </c>
      <c r="K165" s="28" t="e">
        <f ca="1"/>
        <v>#NAME?</v>
      </c>
      <c r="L165" s="28" t="e">
        <f ca="1"/>
        <v>#NAME?</v>
      </c>
      <c r="M165" s="28" t="e">
        <f ca="1"/>
        <v>#NAME?</v>
      </c>
      <c r="N165" t="e">
        <f ca="1"/>
        <v>#NAME?</v>
      </c>
      <c r="O165" t="e">
        <f ca="1"/>
        <v>#NAME?</v>
      </c>
      <c r="P165" t="str">
        <f ca="1"/>
        <v/>
      </c>
      <c r="Q165" t="str">
        <f ca="1"/>
        <v/>
      </c>
      <c r="R165">
        <f ca="1"/>
        <v>12</v>
      </c>
      <c r="S165" t="str">
        <f ca="1"/>
        <v>ZZZZZ</v>
      </c>
      <c r="T165" t="str">
        <f ca="1"/>
        <v>ZZZZZ</v>
      </c>
      <c r="U165" t="e">
        <f ca="1"/>
        <v>#NAME?</v>
      </c>
      <c r="V165" t="e">
        <f ca="1"/>
        <v>#NAME?</v>
      </c>
      <c r="W165" t="e">
        <f ca="1"/>
        <v>#NAME?</v>
      </c>
      <c r="X165" t="e">
        <f ca="1"/>
        <v>#NAME?</v>
      </c>
      <c r="Y165" t="e" cm="1">
        <f t="array" aca="1" ref="Y165" ca="1">IF(W165&lt;&gt;"", SUMPRODUCT( (input!H:H=tipos_eqs!W165)*1 ), "")</f>
        <v>#NAME?</v>
      </c>
      <c r="Z165" t="e">
        <f ca="1"/>
        <v>#NAME?</v>
      </c>
      <c r="AC165" t="str">
        <f t="shared" ca="1" si="10"/>
        <v/>
      </c>
      <c r="AD165" t="e">
        <f t="shared" ca="1" si="11"/>
        <v>#NAME?</v>
      </c>
      <c r="AE165" t="e">
        <f t="shared" ca="1" si="9"/>
        <v>#NAME?</v>
      </c>
    </row>
    <row r="166" spans="1:31" x14ac:dyDescent="0.3">
      <c r="A166" s="26">
        <f ca="1"/>
        <v>164</v>
      </c>
      <c r="B166" s="28"/>
      <c r="C166" s="28"/>
      <c r="D166" s="31" t="str">
        <f ca="1"/>
        <v>1100</v>
      </c>
      <c r="F166">
        <f ca="1"/>
        <v>0</v>
      </c>
      <c r="G166">
        <f ca="1"/>
        <v>0</v>
      </c>
      <c r="H166" s="28" t="str">
        <f ca="1"/>
        <v>ZZZZZ@@@@@@@@@@@@@@@@@@@@@@@@@@@164</v>
      </c>
      <c r="I166" s="28" t="str">
        <f ca="1"/>
        <v>ZZZZZ@@@164</v>
      </c>
      <c r="J166" s="28" t="e">
        <f ca="1"/>
        <v>#NAME?</v>
      </c>
      <c r="K166" s="28" t="e">
        <f ca="1"/>
        <v>#NAME?</v>
      </c>
      <c r="L166" s="28" t="e">
        <f ca="1"/>
        <v>#NAME?</v>
      </c>
      <c r="M166" s="28" t="e">
        <f ca="1"/>
        <v>#NAME?</v>
      </c>
      <c r="N166" t="e">
        <f ca="1"/>
        <v>#NAME?</v>
      </c>
      <c r="O166" t="e">
        <f ca="1"/>
        <v>#NAME?</v>
      </c>
      <c r="P166" t="str">
        <f ca="1"/>
        <v/>
      </c>
      <c r="Q166" t="str">
        <f ca="1"/>
        <v/>
      </c>
      <c r="R166">
        <f ca="1"/>
        <v>12</v>
      </c>
      <c r="S166" t="str">
        <f ca="1"/>
        <v>ZZZZZ</v>
      </c>
      <c r="T166" t="str">
        <f ca="1"/>
        <v>ZZZZZ</v>
      </c>
      <c r="U166" t="e">
        <f ca="1"/>
        <v>#NAME?</v>
      </c>
      <c r="V166" t="e">
        <f ca="1"/>
        <v>#NAME?</v>
      </c>
      <c r="W166" t="e">
        <f ca="1"/>
        <v>#NAME?</v>
      </c>
      <c r="X166" t="e">
        <f ca="1"/>
        <v>#NAME?</v>
      </c>
      <c r="Y166" t="e" cm="1">
        <f t="array" aca="1" ref="Y166" ca="1">IF(W166&lt;&gt;"", SUMPRODUCT( (input!H:H=tipos_eqs!W166)*1 ), "")</f>
        <v>#NAME?</v>
      </c>
      <c r="Z166" t="e">
        <f ca="1"/>
        <v>#NAME?</v>
      </c>
      <c r="AC166" t="str">
        <f t="shared" ca="1" si="10"/>
        <v/>
      </c>
      <c r="AD166" t="e">
        <f t="shared" ca="1" si="11"/>
        <v>#NAME?</v>
      </c>
      <c r="AE166" t="e">
        <f t="shared" ca="1" si="9"/>
        <v>#NAME?</v>
      </c>
    </row>
    <row r="167" spans="1:31" x14ac:dyDescent="0.3">
      <c r="A167" s="26">
        <f ca="1"/>
        <v>165</v>
      </c>
      <c r="B167" s="28"/>
      <c r="C167" s="28"/>
      <c r="D167" s="31" t="str">
        <f ca="1"/>
        <v>1100</v>
      </c>
      <c r="F167">
        <f ca="1"/>
        <v>0</v>
      </c>
      <c r="G167">
        <f ca="1"/>
        <v>0</v>
      </c>
      <c r="H167" s="28" t="str">
        <f ca="1"/>
        <v>ZZZZZ@@@@@@@@@@@@@@@@@@@@@@@@@@@165</v>
      </c>
      <c r="I167" s="28" t="str">
        <f ca="1"/>
        <v>ZZZZZ@@@165</v>
      </c>
      <c r="J167" s="28" t="e">
        <f ca="1"/>
        <v>#NAME?</v>
      </c>
      <c r="K167" s="28" t="e">
        <f ca="1"/>
        <v>#NAME?</v>
      </c>
      <c r="L167" s="28" t="e">
        <f ca="1"/>
        <v>#NAME?</v>
      </c>
      <c r="M167" s="28" t="e">
        <f ca="1"/>
        <v>#NAME?</v>
      </c>
      <c r="N167" t="e">
        <f ca="1"/>
        <v>#NAME?</v>
      </c>
      <c r="O167" t="e">
        <f ca="1"/>
        <v>#NAME?</v>
      </c>
      <c r="P167" t="str">
        <f ca="1"/>
        <v/>
      </c>
      <c r="Q167" t="str">
        <f ca="1"/>
        <v/>
      </c>
      <c r="R167">
        <f ca="1"/>
        <v>12</v>
      </c>
      <c r="S167" t="str">
        <f ca="1"/>
        <v>ZZZZZ</v>
      </c>
      <c r="T167" t="str">
        <f ca="1"/>
        <v>ZZZZZ</v>
      </c>
      <c r="U167" t="e">
        <f ca="1"/>
        <v>#NAME?</v>
      </c>
      <c r="V167" t="e">
        <f ca="1"/>
        <v>#NAME?</v>
      </c>
      <c r="W167" t="e">
        <f ca="1"/>
        <v>#NAME?</v>
      </c>
      <c r="X167" t="e">
        <f ca="1"/>
        <v>#NAME?</v>
      </c>
      <c r="Y167" t="e" cm="1">
        <f t="array" aca="1" ref="Y167" ca="1">IF(W167&lt;&gt;"", SUMPRODUCT( (input!H:H=tipos_eqs!W167)*1 ), "")</f>
        <v>#NAME?</v>
      </c>
      <c r="Z167" t="e">
        <f ca="1"/>
        <v>#NAME?</v>
      </c>
      <c r="AC167" t="str">
        <f t="shared" ca="1" si="10"/>
        <v/>
      </c>
      <c r="AD167" t="e">
        <f t="shared" ca="1" si="11"/>
        <v>#NAME?</v>
      </c>
      <c r="AE167" t="e">
        <f t="shared" ca="1" si="9"/>
        <v>#NAME?</v>
      </c>
    </row>
    <row r="168" spans="1:31" x14ac:dyDescent="0.3">
      <c r="A168" s="26">
        <f ca="1"/>
        <v>166</v>
      </c>
      <c r="B168" s="28"/>
      <c r="C168" s="28"/>
      <c r="D168" s="31" t="str">
        <f ca="1"/>
        <v>1100</v>
      </c>
      <c r="F168">
        <f ca="1"/>
        <v>0</v>
      </c>
      <c r="G168">
        <f ca="1"/>
        <v>0</v>
      </c>
      <c r="H168" s="28" t="str">
        <f ca="1"/>
        <v>ZZZZZ@@@@@@@@@@@@@@@@@@@@@@@@@@@166</v>
      </c>
      <c r="I168" s="28" t="str">
        <f ca="1"/>
        <v>ZZZZZ@@@166</v>
      </c>
      <c r="J168" s="28" t="e">
        <f ca="1"/>
        <v>#NAME?</v>
      </c>
      <c r="K168" s="28" t="e">
        <f ca="1"/>
        <v>#NAME?</v>
      </c>
      <c r="L168" s="28" t="e">
        <f ca="1"/>
        <v>#NAME?</v>
      </c>
      <c r="M168" s="28" t="e">
        <f ca="1"/>
        <v>#NAME?</v>
      </c>
      <c r="N168" t="e">
        <f ca="1"/>
        <v>#NAME?</v>
      </c>
      <c r="O168" t="e">
        <f ca="1"/>
        <v>#NAME?</v>
      </c>
      <c r="P168" t="str">
        <f ca="1"/>
        <v/>
      </c>
      <c r="Q168" t="str">
        <f ca="1"/>
        <v/>
      </c>
      <c r="R168">
        <f ca="1"/>
        <v>12</v>
      </c>
      <c r="S168" t="str">
        <f ca="1"/>
        <v>ZZZZZ</v>
      </c>
      <c r="T168" t="str">
        <f ca="1"/>
        <v>ZZZZZ</v>
      </c>
      <c r="U168" t="e">
        <f ca="1"/>
        <v>#NAME?</v>
      </c>
      <c r="V168" t="e">
        <f ca="1"/>
        <v>#NAME?</v>
      </c>
      <c r="W168" t="e">
        <f ca="1"/>
        <v>#NAME?</v>
      </c>
      <c r="X168" t="e">
        <f ca="1"/>
        <v>#NAME?</v>
      </c>
      <c r="Y168" t="e" cm="1">
        <f t="array" aca="1" ref="Y168" ca="1">IF(W168&lt;&gt;"", SUMPRODUCT( (input!H:H=tipos_eqs!W168)*1 ), "")</f>
        <v>#NAME?</v>
      </c>
      <c r="Z168" t="e">
        <f ca="1"/>
        <v>#NAME?</v>
      </c>
      <c r="AC168" t="str">
        <f t="shared" ca="1" si="10"/>
        <v/>
      </c>
      <c r="AD168" t="e">
        <f t="shared" ca="1" si="11"/>
        <v>#NAME?</v>
      </c>
      <c r="AE168" t="e">
        <f t="shared" ca="1" si="9"/>
        <v>#NAME?</v>
      </c>
    </row>
    <row r="169" spans="1:31" x14ac:dyDescent="0.3">
      <c r="A169" s="26">
        <f ca="1"/>
        <v>167</v>
      </c>
      <c r="B169" s="28"/>
      <c r="C169" s="28"/>
      <c r="D169" s="31" t="str">
        <f ca="1"/>
        <v>1100</v>
      </c>
      <c r="F169">
        <f ca="1"/>
        <v>0</v>
      </c>
      <c r="G169">
        <f ca="1"/>
        <v>0</v>
      </c>
      <c r="H169" s="28" t="str">
        <f ca="1"/>
        <v>ZZZZZ@@@@@@@@@@@@@@@@@@@@@@@@@@@167</v>
      </c>
      <c r="I169" s="28" t="str">
        <f ca="1"/>
        <v>ZZZZZ@@@167</v>
      </c>
      <c r="J169" s="28" t="e">
        <f ca="1"/>
        <v>#NAME?</v>
      </c>
      <c r="K169" s="28" t="e">
        <f ca="1"/>
        <v>#NAME?</v>
      </c>
      <c r="L169" s="28" t="e">
        <f ca="1"/>
        <v>#NAME?</v>
      </c>
      <c r="M169" s="28" t="e">
        <f ca="1"/>
        <v>#NAME?</v>
      </c>
      <c r="N169" t="e">
        <f ca="1"/>
        <v>#NAME?</v>
      </c>
      <c r="O169" t="e">
        <f ca="1"/>
        <v>#NAME?</v>
      </c>
      <c r="P169" t="str">
        <f ca="1"/>
        <v/>
      </c>
      <c r="Q169" t="str">
        <f ca="1"/>
        <v/>
      </c>
      <c r="R169">
        <f ca="1"/>
        <v>12</v>
      </c>
      <c r="S169" t="str">
        <f ca="1"/>
        <v>ZZZZZ</v>
      </c>
      <c r="T169" t="str">
        <f ca="1"/>
        <v>ZZZZZ</v>
      </c>
      <c r="U169" t="e">
        <f ca="1"/>
        <v>#NAME?</v>
      </c>
      <c r="V169" t="e">
        <f ca="1"/>
        <v>#NAME?</v>
      </c>
      <c r="W169" t="e">
        <f ca="1"/>
        <v>#NAME?</v>
      </c>
      <c r="X169" t="e">
        <f ca="1"/>
        <v>#NAME?</v>
      </c>
      <c r="Y169" t="e" cm="1">
        <f t="array" aca="1" ref="Y169" ca="1">IF(W169&lt;&gt;"", SUMPRODUCT( (input!H:H=tipos_eqs!W169)*1 ), "")</f>
        <v>#NAME?</v>
      </c>
      <c r="Z169" t="e">
        <f ca="1"/>
        <v>#NAME?</v>
      </c>
      <c r="AC169" t="str">
        <f t="shared" ca="1" si="10"/>
        <v/>
      </c>
      <c r="AD169" t="e">
        <f t="shared" ca="1" si="11"/>
        <v>#NAME?</v>
      </c>
      <c r="AE169" t="e">
        <f t="shared" ca="1" si="9"/>
        <v>#NAME?</v>
      </c>
    </row>
    <row r="170" spans="1:31" x14ac:dyDescent="0.3">
      <c r="A170" s="26">
        <f ca="1"/>
        <v>168</v>
      </c>
      <c r="B170" s="28"/>
      <c r="C170" s="28"/>
      <c r="D170" s="31" t="str">
        <f ca="1"/>
        <v>1100</v>
      </c>
      <c r="F170">
        <f ca="1"/>
        <v>0</v>
      </c>
      <c r="G170">
        <f ca="1"/>
        <v>0</v>
      </c>
      <c r="H170" s="28" t="str">
        <f ca="1"/>
        <v>ZZZZZ@@@@@@@@@@@@@@@@@@@@@@@@@@@168</v>
      </c>
      <c r="I170" s="28" t="str">
        <f ca="1"/>
        <v>ZZZZZ@@@168</v>
      </c>
      <c r="J170" s="28" t="e">
        <f ca="1"/>
        <v>#NAME?</v>
      </c>
      <c r="K170" s="28" t="e">
        <f ca="1"/>
        <v>#NAME?</v>
      </c>
      <c r="L170" s="28" t="e">
        <f ca="1"/>
        <v>#NAME?</v>
      </c>
      <c r="M170" s="28" t="e">
        <f ca="1"/>
        <v>#NAME?</v>
      </c>
      <c r="N170" t="e">
        <f ca="1"/>
        <v>#NAME?</v>
      </c>
      <c r="O170" t="e">
        <f ca="1"/>
        <v>#NAME?</v>
      </c>
      <c r="P170" t="str">
        <f ca="1"/>
        <v/>
      </c>
      <c r="Q170" t="str">
        <f ca="1"/>
        <v/>
      </c>
      <c r="R170">
        <f ca="1"/>
        <v>12</v>
      </c>
      <c r="S170" t="str">
        <f ca="1"/>
        <v>ZZZZZ</v>
      </c>
      <c r="T170" t="str">
        <f ca="1"/>
        <v>ZZZZZ</v>
      </c>
      <c r="U170" t="e">
        <f ca="1"/>
        <v>#NAME?</v>
      </c>
      <c r="V170" t="e">
        <f ca="1"/>
        <v>#NAME?</v>
      </c>
      <c r="W170" t="e">
        <f ca="1"/>
        <v>#NAME?</v>
      </c>
      <c r="X170" t="e">
        <f ca="1"/>
        <v>#NAME?</v>
      </c>
      <c r="Y170" t="e" cm="1">
        <f t="array" aca="1" ref="Y170" ca="1">IF(W170&lt;&gt;"", SUMPRODUCT( (input!H:H=tipos_eqs!W170)*1 ), "")</f>
        <v>#NAME?</v>
      </c>
      <c r="Z170" t="e">
        <f ca="1"/>
        <v>#NAME?</v>
      </c>
      <c r="AC170" t="str">
        <f t="shared" ca="1" si="10"/>
        <v/>
      </c>
      <c r="AD170" t="e">
        <f t="shared" ca="1" si="11"/>
        <v>#NAME?</v>
      </c>
      <c r="AE170" t="e">
        <f t="shared" ca="1" si="9"/>
        <v>#NAME?</v>
      </c>
    </row>
    <row r="171" spans="1:31" x14ac:dyDescent="0.3">
      <c r="A171" s="26">
        <f ca="1"/>
        <v>169</v>
      </c>
      <c r="B171" s="28"/>
      <c r="C171" s="28"/>
      <c r="D171" s="31" t="str">
        <f ca="1"/>
        <v>1100</v>
      </c>
      <c r="F171">
        <f ca="1"/>
        <v>0</v>
      </c>
      <c r="G171">
        <f ca="1"/>
        <v>0</v>
      </c>
      <c r="H171" s="28" t="str">
        <f ca="1"/>
        <v>ZZZZZ@@@@@@@@@@@@@@@@@@@@@@@@@@@169</v>
      </c>
      <c r="I171" s="28" t="str">
        <f ca="1"/>
        <v>ZZZZZ@@@169</v>
      </c>
      <c r="J171" s="28" t="e">
        <f ca="1"/>
        <v>#NAME?</v>
      </c>
      <c r="K171" s="28" t="e">
        <f ca="1"/>
        <v>#NAME?</v>
      </c>
      <c r="L171" s="28" t="e">
        <f ca="1"/>
        <v>#NAME?</v>
      </c>
      <c r="M171" s="28" t="e">
        <f ca="1"/>
        <v>#NAME?</v>
      </c>
      <c r="N171" t="e">
        <f ca="1"/>
        <v>#NAME?</v>
      </c>
      <c r="O171" t="e">
        <f ca="1"/>
        <v>#NAME?</v>
      </c>
      <c r="P171" t="str">
        <f ca="1"/>
        <v/>
      </c>
      <c r="Q171" t="str">
        <f ca="1"/>
        <v/>
      </c>
      <c r="R171">
        <f ca="1"/>
        <v>12</v>
      </c>
      <c r="S171" t="str">
        <f ca="1"/>
        <v>ZZZZZ</v>
      </c>
      <c r="T171" t="str">
        <f ca="1"/>
        <v>ZZZZZ</v>
      </c>
      <c r="U171" t="e">
        <f ca="1"/>
        <v>#NAME?</v>
      </c>
      <c r="V171" t="e">
        <f ca="1"/>
        <v>#NAME?</v>
      </c>
      <c r="W171" t="e">
        <f ca="1"/>
        <v>#NAME?</v>
      </c>
      <c r="X171" t="e">
        <f ca="1"/>
        <v>#NAME?</v>
      </c>
      <c r="Y171" t="e" cm="1">
        <f t="array" aca="1" ref="Y171" ca="1">IF(W171&lt;&gt;"", SUMPRODUCT( (input!H:H=tipos_eqs!W171)*1 ), "")</f>
        <v>#NAME?</v>
      </c>
      <c r="Z171" t="e">
        <f ca="1"/>
        <v>#NAME?</v>
      </c>
      <c r="AC171" t="str">
        <f t="shared" ca="1" si="10"/>
        <v/>
      </c>
      <c r="AD171" t="e">
        <f t="shared" ca="1" si="11"/>
        <v>#NAME?</v>
      </c>
      <c r="AE171" t="e">
        <f t="shared" ca="1" si="9"/>
        <v>#NAME?</v>
      </c>
    </row>
    <row r="172" spans="1:31" x14ac:dyDescent="0.3">
      <c r="A172" s="26">
        <f ca="1"/>
        <v>170</v>
      </c>
      <c r="B172" s="28"/>
      <c r="C172" s="28"/>
      <c r="D172" s="31" t="str">
        <f ca="1"/>
        <v>1100</v>
      </c>
      <c r="F172">
        <f ca="1"/>
        <v>0</v>
      </c>
      <c r="G172">
        <f ca="1"/>
        <v>0</v>
      </c>
      <c r="H172" s="28" t="str">
        <f ca="1"/>
        <v>ZZZZZ@@@@@@@@@@@@@@@@@@@@@@@@@@@170</v>
      </c>
      <c r="I172" s="28" t="str">
        <f ca="1"/>
        <v>ZZZZZ@@@170</v>
      </c>
      <c r="J172" s="28" t="e">
        <f ca="1"/>
        <v>#NAME?</v>
      </c>
      <c r="K172" s="28" t="e">
        <f ca="1"/>
        <v>#NAME?</v>
      </c>
      <c r="L172" s="28" t="e">
        <f ca="1"/>
        <v>#NAME?</v>
      </c>
      <c r="M172" s="28" t="e">
        <f ca="1"/>
        <v>#NAME?</v>
      </c>
      <c r="N172" t="e">
        <f ca="1"/>
        <v>#NAME?</v>
      </c>
      <c r="O172" t="e">
        <f ca="1"/>
        <v>#NAME?</v>
      </c>
      <c r="P172" t="str">
        <f ca="1"/>
        <v/>
      </c>
      <c r="Q172" t="str">
        <f ca="1"/>
        <v/>
      </c>
      <c r="R172">
        <f ca="1"/>
        <v>12</v>
      </c>
      <c r="S172" t="str">
        <f ca="1"/>
        <v>ZZZZZ</v>
      </c>
      <c r="T172" t="str">
        <f ca="1"/>
        <v>ZZZZZ</v>
      </c>
      <c r="U172" t="e">
        <f ca="1"/>
        <v>#NAME?</v>
      </c>
      <c r="V172" t="e">
        <f ca="1"/>
        <v>#NAME?</v>
      </c>
      <c r="W172" t="e">
        <f ca="1"/>
        <v>#NAME?</v>
      </c>
      <c r="X172" t="e">
        <f ca="1"/>
        <v>#NAME?</v>
      </c>
      <c r="Y172" t="e" cm="1">
        <f t="array" aca="1" ref="Y172" ca="1">IF(W172&lt;&gt;"", SUMPRODUCT( (input!H:H=tipos_eqs!W172)*1 ), "")</f>
        <v>#NAME?</v>
      </c>
      <c r="Z172" t="e">
        <f ca="1"/>
        <v>#NAME?</v>
      </c>
      <c r="AC172" t="str">
        <f t="shared" ca="1" si="10"/>
        <v/>
      </c>
      <c r="AD172" t="e">
        <f t="shared" ca="1" si="11"/>
        <v>#NAME?</v>
      </c>
      <c r="AE172" t="e">
        <f t="shared" ca="1" si="9"/>
        <v>#NAME?</v>
      </c>
    </row>
    <row r="173" spans="1:31" x14ac:dyDescent="0.3">
      <c r="A173" s="26">
        <f ca="1"/>
        <v>171</v>
      </c>
      <c r="B173" s="28"/>
      <c r="C173" s="28"/>
      <c r="D173" s="31" t="str">
        <f ca="1"/>
        <v>1100</v>
      </c>
      <c r="F173">
        <f ca="1"/>
        <v>0</v>
      </c>
      <c r="G173">
        <f ca="1"/>
        <v>0</v>
      </c>
      <c r="H173" s="28" t="str">
        <f ca="1"/>
        <v>ZZZZZ@@@@@@@@@@@@@@@@@@@@@@@@@@@171</v>
      </c>
      <c r="I173" s="28" t="str">
        <f ca="1"/>
        <v>ZZZZZ@@@171</v>
      </c>
      <c r="J173" s="28" t="e">
        <f ca="1"/>
        <v>#NAME?</v>
      </c>
      <c r="K173" s="28" t="e">
        <f ca="1"/>
        <v>#NAME?</v>
      </c>
      <c r="L173" s="28" t="e">
        <f ca="1"/>
        <v>#NAME?</v>
      </c>
      <c r="M173" s="28" t="e">
        <f ca="1"/>
        <v>#NAME?</v>
      </c>
      <c r="N173" t="e">
        <f ca="1"/>
        <v>#NAME?</v>
      </c>
      <c r="O173" t="e">
        <f ca="1"/>
        <v>#NAME?</v>
      </c>
      <c r="P173" t="str">
        <f ca="1"/>
        <v/>
      </c>
      <c r="Q173" t="str">
        <f ca="1"/>
        <v/>
      </c>
      <c r="R173">
        <f ca="1"/>
        <v>12</v>
      </c>
      <c r="S173" t="str">
        <f ca="1"/>
        <v>ZZZZZ</v>
      </c>
      <c r="T173" t="str">
        <f ca="1"/>
        <v>ZZZZZ</v>
      </c>
      <c r="U173" t="e">
        <f ca="1"/>
        <v>#NAME?</v>
      </c>
      <c r="V173" t="e">
        <f ca="1"/>
        <v>#NAME?</v>
      </c>
      <c r="W173" t="e">
        <f ca="1"/>
        <v>#NAME?</v>
      </c>
      <c r="X173" t="e">
        <f ca="1"/>
        <v>#NAME?</v>
      </c>
      <c r="Y173" t="e" cm="1">
        <f t="array" aca="1" ref="Y173" ca="1">IF(W173&lt;&gt;"", SUMPRODUCT( (input!H:H=tipos_eqs!W173)*1 ), "")</f>
        <v>#NAME?</v>
      </c>
      <c r="Z173" t="e">
        <f ca="1"/>
        <v>#NAME?</v>
      </c>
      <c r="AC173" t="str">
        <f t="shared" ca="1" si="10"/>
        <v/>
      </c>
      <c r="AD173" t="e">
        <f t="shared" ca="1" si="11"/>
        <v>#NAME?</v>
      </c>
      <c r="AE173" t="e">
        <f t="shared" ca="1" si="9"/>
        <v>#NAME?</v>
      </c>
    </row>
    <row r="174" spans="1:31" x14ac:dyDescent="0.3">
      <c r="A174" s="26">
        <f ca="1"/>
        <v>172</v>
      </c>
      <c r="B174" s="28"/>
      <c r="C174" s="28"/>
      <c r="D174" s="31" t="str">
        <f ca="1"/>
        <v>1100</v>
      </c>
      <c r="F174">
        <f ca="1"/>
        <v>0</v>
      </c>
      <c r="G174">
        <f ca="1"/>
        <v>0</v>
      </c>
      <c r="H174" s="28" t="str">
        <f ca="1"/>
        <v>ZZZZZ@@@@@@@@@@@@@@@@@@@@@@@@@@@172</v>
      </c>
      <c r="I174" s="28" t="str">
        <f ca="1"/>
        <v>ZZZZZ@@@172</v>
      </c>
      <c r="J174" s="28" t="e">
        <f ca="1"/>
        <v>#NAME?</v>
      </c>
      <c r="K174" s="28" t="e">
        <f ca="1"/>
        <v>#NAME?</v>
      </c>
      <c r="L174" s="28" t="e">
        <f ca="1"/>
        <v>#NAME?</v>
      </c>
      <c r="M174" s="28" t="e">
        <f ca="1"/>
        <v>#NAME?</v>
      </c>
      <c r="N174" t="e">
        <f ca="1"/>
        <v>#NAME?</v>
      </c>
      <c r="O174" t="e">
        <f ca="1"/>
        <v>#NAME?</v>
      </c>
      <c r="P174" t="str">
        <f ca="1"/>
        <v/>
      </c>
      <c r="Q174" t="str">
        <f ca="1"/>
        <v/>
      </c>
      <c r="R174">
        <f ca="1"/>
        <v>12</v>
      </c>
      <c r="S174" t="str">
        <f ca="1"/>
        <v>ZZZZZ</v>
      </c>
      <c r="T174" t="str">
        <f ca="1"/>
        <v>ZZZZZ</v>
      </c>
      <c r="U174" t="e">
        <f ca="1"/>
        <v>#NAME?</v>
      </c>
      <c r="V174" t="e">
        <f ca="1"/>
        <v>#NAME?</v>
      </c>
      <c r="W174" t="e">
        <f ca="1"/>
        <v>#NAME?</v>
      </c>
      <c r="X174" t="e">
        <f ca="1"/>
        <v>#NAME?</v>
      </c>
      <c r="Y174" t="e" cm="1">
        <f t="array" aca="1" ref="Y174" ca="1">IF(W174&lt;&gt;"", SUMPRODUCT( (input!H:H=tipos_eqs!W174)*1 ), "")</f>
        <v>#NAME?</v>
      </c>
      <c r="Z174" t="e">
        <f ca="1"/>
        <v>#NAME?</v>
      </c>
      <c r="AC174" t="str">
        <f t="shared" ca="1" si="10"/>
        <v/>
      </c>
      <c r="AD174" t="e">
        <f t="shared" ca="1" si="11"/>
        <v>#NAME?</v>
      </c>
      <c r="AE174" t="e">
        <f t="shared" ca="1" si="9"/>
        <v>#NAME?</v>
      </c>
    </row>
    <row r="175" spans="1:31" x14ac:dyDescent="0.3">
      <c r="A175" s="26">
        <f ca="1"/>
        <v>173</v>
      </c>
      <c r="B175" s="28"/>
      <c r="C175" s="28"/>
      <c r="D175" s="31" t="str">
        <f ca="1"/>
        <v>1100</v>
      </c>
      <c r="F175">
        <f ca="1"/>
        <v>0</v>
      </c>
      <c r="G175">
        <f ca="1"/>
        <v>0</v>
      </c>
      <c r="H175" s="28" t="str">
        <f ca="1"/>
        <v>ZZZZZ@@@@@@@@@@@@@@@@@@@@@@@@@@@173</v>
      </c>
      <c r="I175" s="28" t="str">
        <f ca="1"/>
        <v>ZZZZZ@@@173</v>
      </c>
      <c r="J175" s="28" t="e">
        <f ca="1"/>
        <v>#NAME?</v>
      </c>
      <c r="K175" s="28" t="e">
        <f ca="1"/>
        <v>#NAME?</v>
      </c>
      <c r="L175" s="28" t="e">
        <f ca="1"/>
        <v>#NAME?</v>
      </c>
      <c r="M175" s="28" t="e">
        <f ca="1"/>
        <v>#NAME?</v>
      </c>
      <c r="N175" t="e">
        <f ca="1"/>
        <v>#NAME?</v>
      </c>
      <c r="O175" t="e">
        <f ca="1"/>
        <v>#NAME?</v>
      </c>
      <c r="P175" t="str">
        <f ca="1"/>
        <v/>
      </c>
      <c r="Q175" t="str">
        <f ca="1"/>
        <v/>
      </c>
      <c r="R175">
        <f ca="1"/>
        <v>12</v>
      </c>
      <c r="S175" t="str">
        <f ca="1"/>
        <v>ZZZZZ</v>
      </c>
      <c r="T175" t="str">
        <f ca="1"/>
        <v>ZZZZZ</v>
      </c>
      <c r="U175" t="e">
        <f ca="1"/>
        <v>#NAME?</v>
      </c>
      <c r="V175" t="e">
        <f ca="1"/>
        <v>#NAME?</v>
      </c>
      <c r="W175" t="e">
        <f ca="1"/>
        <v>#NAME?</v>
      </c>
      <c r="X175" t="e">
        <f ca="1"/>
        <v>#NAME?</v>
      </c>
      <c r="Y175" t="e" cm="1">
        <f t="array" aca="1" ref="Y175" ca="1">IF(W175&lt;&gt;"", SUMPRODUCT( (input!H:H=tipos_eqs!W175)*1 ), "")</f>
        <v>#NAME?</v>
      </c>
      <c r="Z175" t="e">
        <f ca="1"/>
        <v>#NAME?</v>
      </c>
      <c r="AC175" t="str">
        <f t="shared" ca="1" si="10"/>
        <v/>
      </c>
      <c r="AD175" t="e">
        <f t="shared" ca="1" si="11"/>
        <v>#NAME?</v>
      </c>
      <c r="AE175" t="e">
        <f t="shared" ca="1" si="9"/>
        <v>#NAME?</v>
      </c>
    </row>
    <row r="176" spans="1:31" x14ac:dyDescent="0.3">
      <c r="A176" s="26">
        <f ca="1"/>
        <v>174</v>
      </c>
      <c r="B176" s="28"/>
      <c r="C176" s="28"/>
      <c r="D176" s="31" t="str">
        <f ca="1"/>
        <v>1100</v>
      </c>
      <c r="F176">
        <f ca="1"/>
        <v>0</v>
      </c>
      <c r="G176">
        <f ca="1"/>
        <v>0</v>
      </c>
      <c r="H176" s="28" t="str">
        <f ca="1"/>
        <v>ZZZZZ@@@@@@@@@@@@@@@@@@@@@@@@@@@174</v>
      </c>
      <c r="I176" s="28" t="str">
        <f ca="1"/>
        <v>ZZZZZ@@@174</v>
      </c>
      <c r="J176" s="28" t="e">
        <f ca="1"/>
        <v>#NAME?</v>
      </c>
      <c r="K176" s="28" t="e">
        <f ca="1"/>
        <v>#NAME?</v>
      </c>
      <c r="L176" s="28" t="e">
        <f ca="1"/>
        <v>#NAME?</v>
      </c>
      <c r="M176" s="28" t="e">
        <f ca="1"/>
        <v>#NAME?</v>
      </c>
      <c r="N176" t="e">
        <f ca="1"/>
        <v>#NAME?</v>
      </c>
      <c r="O176" t="e">
        <f ca="1"/>
        <v>#NAME?</v>
      </c>
      <c r="P176" t="str">
        <f ca="1"/>
        <v/>
      </c>
      <c r="Q176" t="str">
        <f ca="1"/>
        <v/>
      </c>
      <c r="R176">
        <f ca="1"/>
        <v>12</v>
      </c>
      <c r="S176" t="str">
        <f ca="1"/>
        <v>ZZZZZ</v>
      </c>
      <c r="T176" t="str">
        <f ca="1"/>
        <v>ZZZZZ</v>
      </c>
      <c r="U176" t="e">
        <f ca="1"/>
        <v>#NAME?</v>
      </c>
      <c r="V176" t="e">
        <f ca="1"/>
        <v>#NAME?</v>
      </c>
      <c r="W176" t="e">
        <f ca="1"/>
        <v>#NAME?</v>
      </c>
      <c r="X176" t="e">
        <f ca="1"/>
        <v>#NAME?</v>
      </c>
      <c r="Y176" t="e" cm="1">
        <f t="array" aca="1" ref="Y176" ca="1">IF(W176&lt;&gt;"", SUMPRODUCT( (input!H:H=tipos_eqs!W176)*1 ), "")</f>
        <v>#NAME?</v>
      </c>
      <c r="Z176" t="e">
        <f ca="1"/>
        <v>#NAME?</v>
      </c>
      <c r="AC176" t="str">
        <f t="shared" ca="1" si="10"/>
        <v/>
      </c>
      <c r="AD176" t="e">
        <f t="shared" ca="1" si="11"/>
        <v>#NAME?</v>
      </c>
      <c r="AE176" t="e">
        <f t="shared" ca="1" si="9"/>
        <v>#NAME?</v>
      </c>
    </row>
    <row r="177" spans="1:31" x14ac:dyDescent="0.3">
      <c r="A177" s="26">
        <f ca="1"/>
        <v>175</v>
      </c>
      <c r="B177" s="28"/>
      <c r="C177" s="28"/>
      <c r="D177" s="31" t="str">
        <f ca="1"/>
        <v>1100</v>
      </c>
      <c r="F177">
        <f ca="1"/>
        <v>0</v>
      </c>
      <c r="G177">
        <f ca="1"/>
        <v>0</v>
      </c>
      <c r="H177" s="28" t="str">
        <f ca="1"/>
        <v>ZZZZZ@@@@@@@@@@@@@@@@@@@@@@@@@@@175</v>
      </c>
      <c r="I177" s="28" t="str">
        <f ca="1"/>
        <v>ZZZZZ@@@175</v>
      </c>
      <c r="J177" s="28" t="e">
        <f ca="1"/>
        <v>#NAME?</v>
      </c>
      <c r="K177" s="28" t="e">
        <f ca="1"/>
        <v>#NAME?</v>
      </c>
      <c r="L177" s="28" t="e">
        <f ca="1"/>
        <v>#NAME?</v>
      </c>
      <c r="M177" s="28" t="e">
        <f ca="1"/>
        <v>#NAME?</v>
      </c>
      <c r="N177" t="e">
        <f ca="1"/>
        <v>#NAME?</v>
      </c>
      <c r="O177" t="e">
        <f ca="1"/>
        <v>#NAME?</v>
      </c>
      <c r="P177" t="str">
        <f ca="1"/>
        <v/>
      </c>
      <c r="Q177" t="str">
        <f ca="1"/>
        <v/>
      </c>
      <c r="R177">
        <f ca="1"/>
        <v>12</v>
      </c>
      <c r="S177" t="str">
        <f ca="1"/>
        <v>ZZZZZ</v>
      </c>
      <c r="T177" t="str">
        <f ca="1"/>
        <v>ZZZZZ</v>
      </c>
      <c r="U177" t="e">
        <f ca="1"/>
        <v>#NAME?</v>
      </c>
      <c r="V177" t="e">
        <f ca="1"/>
        <v>#NAME?</v>
      </c>
      <c r="W177" t="e">
        <f ca="1"/>
        <v>#NAME?</v>
      </c>
      <c r="X177" t="e">
        <f ca="1"/>
        <v>#NAME?</v>
      </c>
      <c r="Y177" t="e" cm="1">
        <f t="array" aca="1" ref="Y177" ca="1">IF(W177&lt;&gt;"", SUMPRODUCT( (input!H:H=tipos_eqs!W177)*1 ), "")</f>
        <v>#NAME?</v>
      </c>
      <c r="Z177" t="e">
        <f ca="1"/>
        <v>#NAME?</v>
      </c>
      <c r="AC177" t="str">
        <f t="shared" ca="1" si="10"/>
        <v/>
      </c>
      <c r="AD177" t="e">
        <f t="shared" ca="1" si="11"/>
        <v>#NAME?</v>
      </c>
      <c r="AE177" t="e">
        <f t="shared" ca="1" si="9"/>
        <v>#NAME?</v>
      </c>
    </row>
    <row r="178" spans="1:31" x14ac:dyDescent="0.3">
      <c r="A178" s="26">
        <f ca="1"/>
        <v>176</v>
      </c>
      <c r="B178" s="28"/>
      <c r="C178" s="28"/>
      <c r="D178" s="31" t="str">
        <f ca="1"/>
        <v>1100</v>
      </c>
      <c r="F178">
        <f ca="1"/>
        <v>0</v>
      </c>
      <c r="G178">
        <f ca="1"/>
        <v>0</v>
      </c>
      <c r="H178" s="28" t="str">
        <f ca="1"/>
        <v>ZZZZZ@@@@@@@@@@@@@@@@@@@@@@@@@@@176</v>
      </c>
      <c r="I178" s="28" t="str">
        <f ca="1"/>
        <v>ZZZZZ@@@176</v>
      </c>
      <c r="J178" s="28" t="e">
        <f ca="1"/>
        <v>#NAME?</v>
      </c>
      <c r="K178" s="28" t="e">
        <f ca="1"/>
        <v>#NAME?</v>
      </c>
      <c r="L178" s="28" t="e">
        <f ca="1"/>
        <v>#NAME?</v>
      </c>
      <c r="M178" s="28" t="e">
        <f ca="1"/>
        <v>#NAME?</v>
      </c>
      <c r="N178" t="e">
        <f ca="1"/>
        <v>#NAME?</v>
      </c>
      <c r="O178" t="e">
        <f ca="1"/>
        <v>#NAME?</v>
      </c>
      <c r="P178" t="str">
        <f ca="1"/>
        <v/>
      </c>
      <c r="Q178" t="str">
        <f ca="1"/>
        <v/>
      </c>
      <c r="R178">
        <f ca="1"/>
        <v>12</v>
      </c>
      <c r="S178" t="str">
        <f ca="1"/>
        <v>ZZZZZ</v>
      </c>
      <c r="T178" t="str">
        <f ca="1"/>
        <v>ZZZZZ</v>
      </c>
      <c r="U178" t="e">
        <f ca="1"/>
        <v>#NAME?</v>
      </c>
      <c r="V178" t="e">
        <f ca="1"/>
        <v>#NAME?</v>
      </c>
      <c r="W178" t="e">
        <f ca="1"/>
        <v>#NAME?</v>
      </c>
      <c r="X178" t="e">
        <f ca="1"/>
        <v>#NAME?</v>
      </c>
      <c r="Y178" t="e" cm="1">
        <f t="array" aca="1" ref="Y178" ca="1">IF(W178&lt;&gt;"", SUMPRODUCT( (input!H:H=tipos_eqs!W178)*1 ), "")</f>
        <v>#NAME?</v>
      </c>
      <c r="Z178" t="e">
        <f ca="1"/>
        <v>#NAME?</v>
      </c>
      <c r="AC178" t="str">
        <f t="shared" ca="1" si="10"/>
        <v/>
      </c>
      <c r="AD178" t="e">
        <f t="shared" ca="1" si="11"/>
        <v>#NAME?</v>
      </c>
      <c r="AE178" t="e">
        <f t="shared" ca="1" si="9"/>
        <v>#NAME?</v>
      </c>
    </row>
    <row r="179" spans="1:31" x14ac:dyDescent="0.3">
      <c r="A179" s="26">
        <f ca="1"/>
        <v>177</v>
      </c>
      <c r="B179" s="28"/>
      <c r="C179" s="28"/>
      <c r="D179" s="31" t="str">
        <f ca="1"/>
        <v>1100</v>
      </c>
      <c r="F179">
        <f ca="1"/>
        <v>0</v>
      </c>
      <c r="G179">
        <f ca="1"/>
        <v>0</v>
      </c>
      <c r="H179" s="28" t="str">
        <f ca="1"/>
        <v>ZZZZZ@@@@@@@@@@@@@@@@@@@@@@@@@@@177</v>
      </c>
      <c r="I179" s="28" t="str">
        <f ca="1"/>
        <v>ZZZZZ@@@177</v>
      </c>
      <c r="J179" s="28" t="e">
        <f ca="1"/>
        <v>#NAME?</v>
      </c>
      <c r="K179" s="28" t="e">
        <f ca="1"/>
        <v>#NAME?</v>
      </c>
      <c r="L179" s="28" t="e">
        <f ca="1"/>
        <v>#NAME?</v>
      </c>
      <c r="M179" s="28" t="e">
        <f ca="1"/>
        <v>#NAME?</v>
      </c>
      <c r="N179" t="e">
        <f ca="1"/>
        <v>#NAME?</v>
      </c>
      <c r="O179" t="e">
        <f ca="1"/>
        <v>#NAME?</v>
      </c>
      <c r="P179" t="str">
        <f ca="1"/>
        <v/>
      </c>
      <c r="Q179" t="str">
        <f ca="1"/>
        <v/>
      </c>
      <c r="R179">
        <f ca="1"/>
        <v>12</v>
      </c>
      <c r="S179" t="str">
        <f ca="1"/>
        <v>ZZZZZ</v>
      </c>
      <c r="T179" t="str">
        <f ca="1"/>
        <v>ZZZZZ</v>
      </c>
      <c r="U179" t="e">
        <f ca="1"/>
        <v>#NAME?</v>
      </c>
      <c r="V179" t="e">
        <f ca="1"/>
        <v>#NAME?</v>
      </c>
      <c r="W179" t="e">
        <f ca="1"/>
        <v>#NAME?</v>
      </c>
      <c r="X179" t="e">
        <f ca="1"/>
        <v>#NAME?</v>
      </c>
      <c r="Y179" t="e" cm="1">
        <f t="array" aca="1" ref="Y179" ca="1">IF(W179&lt;&gt;"", SUMPRODUCT( (input!H:H=tipos_eqs!W179)*1 ), "")</f>
        <v>#NAME?</v>
      </c>
      <c r="Z179" t="e">
        <f ca="1"/>
        <v>#NAME?</v>
      </c>
      <c r="AC179" t="str">
        <f t="shared" ca="1" si="10"/>
        <v/>
      </c>
      <c r="AD179" t="e">
        <f t="shared" ca="1" si="11"/>
        <v>#NAME?</v>
      </c>
      <c r="AE179" t="e">
        <f t="shared" ca="1" si="9"/>
        <v>#NAME?</v>
      </c>
    </row>
    <row r="180" spans="1:31" x14ac:dyDescent="0.3">
      <c r="A180" s="26">
        <f ca="1"/>
        <v>178</v>
      </c>
      <c r="B180" s="28"/>
      <c r="C180" s="28"/>
      <c r="D180" s="31" t="str">
        <f ca="1"/>
        <v>1100</v>
      </c>
      <c r="F180">
        <f ca="1"/>
        <v>0</v>
      </c>
      <c r="G180">
        <f ca="1"/>
        <v>0</v>
      </c>
      <c r="H180" s="28" t="str">
        <f ca="1"/>
        <v>ZZZZZ@@@@@@@@@@@@@@@@@@@@@@@@@@@178</v>
      </c>
      <c r="I180" s="28" t="str">
        <f ca="1"/>
        <v>ZZZZZ@@@178</v>
      </c>
      <c r="J180" s="28" t="e">
        <f ca="1"/>
        <v>#NAME?</v>
      </c>
      <c r="K180" s="28" t="e">
        <f ca="1"/>
        <v>#NAME?</v>
      </c>
      <c r="L180" s="28" t="e">
        <f ca="1"/>
        <v>#NAME?</v>
      </c>
      <c r="M180" s="28" t="e">
        <f ca="1"/>
        <v>#NAME?</v>
      </c>
      <c r="N180" t="e">
        <f ca="1"/>
        <v>#NAME?</v>
      </c>
      <c r="O180" t="e">
        <f ca="1"/>
        <v>#NAME?</v>
      </c>
      <c r="P180" t="str">
        <f ca="1"/>
        <v/>
      </c>
      <c r="Q180" t="str">
        <f ca="1"/>
        <v/>
      </c>
      <c r="R180">
        <f ca="1"/>
        <v>12</v>
      </c>
      <c r="S180" t="str">
        <f ca="1"/>
        <v>ZZZZZ</v>
      </c>
      <c r="T180" t="str">
        <f ca="1"/>
        <v>ZZZZZ</v>
      </c>
      <c r="U180" t="e">
        <f ca="1"/>
        <v>#NAME?</v>
      </c>
      <c r="V180" t="e">
        <f ca="1"/>
        <v>#NAME?</v>
      </c>
      <c r="W180" t="e">
        <f ca="1"/>
        <v>#NAME?</v>
      </c>
      <c r="X180" t="e">
        <f ca="1"/>
        <v>#NAME?</v>
      </c>
      <c r="Y180" t="e" cm="1">
        <f t="array" aca="1" ref="Y180" ca="1">IF(W180&lt;&gt;"", SUMPRODUCT( (input!H:H=tipos_eqs!W180)*1 ), "")</f>
        <v>#NAME?</v>
      </c>
      <c r="Z180" t="e">
        <f ca="1"/>
        <v>#NAME?</v>
      </c>
      <c r="AC180" t="str">
        <f t="shared" ca="1" si="10"/>
        <v/>
      </c>
      <c r="AD180" t="e">
        <f t="shared" ca="1" si="11"/>
        <v>#NAME?</v>
      </c>
      <c r="AE180" t="e">
        <f t="shared" ca="1" si="9"/>
        <v>#NAME?</v>
      </c>
    </row>
    <row r="181" spans="1:31" x14ac:dyDescent="0.3">
      <c r="A181" s="26">
        <f ca="1"/>
        <v>179</v>
      </c>
      <c r="B181" s="28"/>
      <c r="C181" s="28"/>
      <c r="D181" s="31" t="str">
        <f ca="1"/>
        <v>1100</v>
      </c>
      <c r="F181">
        <f ca="1"/>
        <v>0</v>
      </c>
      <c r="G181">
        <f ca="1"/>
        <v>0</v>
      </c>
      <c r="H181" s="28" t="str">
        <f ca="1"/>
        <v>ZZZZZ@@@@@@@@@@@@@@@@@@@@@@@@@@@179</v>
      </c>
      <c r="I181" s="28" t="str">
        <f ca="1"/>
        <v>ZZZZZ@@@179</v>
      </c>
      <c r="J181" s="28" t="e">
        <f ca="1"/>
        <v>#NAME?</v>
      </c>
      <c r="K181" s="28" t="e">
        <f ca="1"/>
        <v>#NAME?</v>
      </c>
      <c r="L181" s="28" t="e">
        <f ca="1"/>
        <v>#NAME?</v>
      </c>
      <c r="M181" s="28" t="e">
        <f ca="1"/>
        <v>#NAME?</v>
      </c>
      <c r="N181" t="e">
        <f ca="1"/>
        <v>#NAME?</v>
      </c>
      <c r="O181" t="e">
        <f ca="1"/>
        <v>#NAME?</v>
      </c>
      <c r="P181" t="str">
        <f ca="1"/>
        <v/>
      </c>
      <c r="Q181" t="str">
        <f ca="1"/>
        <v/>
      </c>
      <c r="R181">
        <f ca="1"/>
        <v>12</v>
      </c>
      <c r="S181" t="str">
        <f ca="1"/>
        <v>ZZZZZ</v>
      </c>
      <c r="T181" t="str">
        <f ca="1"/>
        <v>ZZZZZ</v>
      </c>
      <c r="U181" t="e">
        <f ca="1"/>
        <v>#NAME?</v>
      </c>
      <c r="V181" t="e">
        <f ca="1"/>
        <v>#NAME?</v>
      </c>
      <c r="W181" t="e">
        <f ca="1"/>
        <v>#NAME?</v>
      </c>
      <c r="X181" t="e">
        <f ca="1"/>
        <v>#NAME?</v>
      </c>
      <c r="Y181" t="e" cm="1">
        <f t="array" aca="1" ref="Y181" ca="1">IF(W181&lt;&gt;"", SUMPRODUCT( (input!H:H=tipos_eqs!W181)*1 ), "")</f>
        <v>#NAME?</v>
      </c>
      <c r="Z181" t="e">
        <f ca="1"/>
        <v>#NAME?</v>
      </c>
      <c r="AC181" t="str">
        <f t="shared" ca="1" si="10"/>
        <v/>
      </c>
      <c r="AD181" t="e">
        <f t="shared" ca="1" si="11"/>
        <v>#NAME?</v>
      </c>
      <c r="AE181" t="e">
        <f t="shared" ca="1" si="9"/>
        <v>#NAME?</v>
      </c>
    </row>
    <row r="182" spans="1:31" x14ac:dyDescent="0.3">
      <c r="A182" s="26">
        <f ca="1"/>
        <v>180</v>
      </c>
      <c r="B182" s="28"/>
      <c r="C182" s="28"/>
      <c r="D182" s="31" t="str">
        <f ca="1"/>
        <v>1100</v>
      </c>
      <c r="F182">
        <f ca="1"/>
        <v>0</v>
      </c>
      <c r="G182">
        <f ca="1"/>
        <v>0</v>
      </c>
      <c r="H182" s="28" t="str">
        <f ca="1"/>
        <v>ZZZZZ@@@@@@@@@@@@@@@@@@@@@@@@@@@180</v>
      </c>
      <c r="I182" s="28" t="str">
        <f ca="1"/>
        <v>ZZZZZ@@@180</v>
      </c>
      <c r="J182" s="28" t="e">
        <f ca="1"/>
        <v>#NAME?</v>
      </c>
      <c r="K182" s="28" t="e">
        <f ca="1"/>
        <v>#NAME?</v>
      </c>
      <c r="L182" s="28" t="e">
        <f ca="1"/>
        <v>#NAME?</v>
      </c>
      <c r="M182" s="28" t="e">
        <f ca="1"/>
        <v>#NAME?</v>
      </c>
      <c r="N182" t="e">
        <f ca="1"/>
        <v>#NAME?</v>
      </c>
      <c r="O182" t="e">
        <f ca="1"/>
        <v>#NAME?</v>
      </c>
      <c r="P182" t="str">
        <f ca="1"/>
        <v/>
      </c>
      <c r="Q182" t="str">
        <f ca="1"/>
        <v/>
      </c>
      <c r="R182">
        <f ca="1"/>
        <v>12</v>
      </c>
      <c r="S182" t="str">
        <f ca="1"/>
        <v>ZZZZZ</v>
      </c>
      <c r="T182" t="str">
        <f ca="1"/>
        <v>ZZZZZ</v>
      </c>
      <c r="U182" t="e">
        <f ca="1"/>
        <v>#NAME?</v>
      </c>
      <c r="V182" t="e">
        <f ca="1"/>
        <v>#NAME?</v>
      </c>
      <c r="W182" t="e">
        <f ca="1"/>
        <v>#NAME?</v>
      </c>
      <c r="X182" t="e">
        <f ca="1"/>
        <v>#NAME?</v>
      </c>
      <c r="Y182" t="e" cm="1">
        <f t="array" aca="1" ref="Y182" ca="1">IF(W182&lt;&gt;"", SUMPRODUCT( (input!H:H=tipos_eqs!W182)*1 ), "")</f>
        <v>#NAME?</v>
      </c>
      <c r="Z182" t="e">
        <f ca="1"/>
        <v>#NAME?</v>
      </c>
      <c r="AC182" t="str">
        <f t="shared" ca="1" si="10"/>
        <v/>
      </c>
      <c r="AD182" t="e">
        <f t="shared" ca="1" si="11"/>
        <v>#NAME?</v>
      </c>
      <c r="AE182" t="e">
        <f t="shared" ca="1" si="9"/>
        <v>#NAME?</v>
      </c>
    </row>
    <row r="183" spans="1:31" x14ac:dyDescent="0.3">
      <c r="A183" s="26">
        <f ca="1"/>
        <v>181</v>
      </c>
      <c r="B183" s="28"/>
      <c r="C183" s="28"/>
      <c r="D183" s="31" t="str">
        <f ca="1"/>
        <v>1100</v>
      </c>
      <c r="F183">
        <f ca="1"/>
        <v>0</v>
      </c>
      <c r="G183">
        <f ca="1"/>
        <v>0</v>
      </c>
      <c r="H183" s="28" t="str">
        <f ca="1"/>
        <v>ZZZZZ@@@@@@@@@@@@@@@@@@@@@@@@@@@181</v>
      </c>
      <c r="I183" s="28" t="str">
        <f ca="1"/>
        <v>ZZZZZ@@@181</v>
      </c>
      <c r="J183" s="28" t="e">
        <f ca="1"/>
        <v>#NAME?</v>
      </c>
      <c r="K183" s="28" t="e">
        <f ca="1"/>
        <v>#NAME?</v>
      </c>
      <c r="L183" s="28" t="e">
        <f ca="1"/>
        <v>#NAME?</v>
      </c>
      <c r="M183" s="28" t="e">
        <f ca="1"/>
        <v>#NAME?</v>
      </c>
      <c r="N183" t="e">
        <f ca="1"/>
        <v>#NAME?</v>
      </c>
      <c r="O183" t="e">
        <f ca="1"/>
        <v>#NAME?</v>
      </c>
      <c r="P183" t="str">
        <f ca="1"/>
        <v/>
      </c>
      <c r="Q183" t="str">
        <f ca="1"/>
        <v/>
      </c>
      <c r="R183">
        <f ca="1"/>
        <v>12</v>
      </c>
      <c r="S183" t="str">
        <f ca="1"/>
        <v>ZZZZZ</v>
      </c>
      <c r="T183" t="str">
        <f ca="1"/>
        <v>ZZZZZ</v>
      </c>
      <c r="U183" t="e">
        <f ca="1"/>
        <v>#NAME?</v>
      </c>
      <c r="V183" t="e">
        <f ca="1"/>
        <v>#NAME?</v>
      </c>
      <c r="W183" t="e">
        <f ca="1"/>
        <v>#NAME?</v>
      </c>
      <c r="X183" t="e">
        <f ca="1"/>
        <v>#NAME?</v>
      </c>
      <c r="Y183" t="e" cm="1">
        <f t="array" aca="1" ref="Y183" ca="1">IF(W183&lt;&gt;"", SUMPRODUCT( (input!H:H=tipos_eqs!W183)*1 ), "")</f>
        <v>#NAME?</v>
      </c>
      <c r="Z183" t="e">
        <f ca="1"/>
        <v>#NAME?</v>
      </c>
      <c r="AC183" t="str">
        <f t="shared" ca="1" si="10"/>
        <v/>
      </c>
      <c r="AD183" t="e">
        <f t="shared" ca="1" si="11"/>
        <v>#NAME?</v>
      </c>
      <c r="AE183" t="e">
        <f t="shared" ca="1" si="9"/>
        <v>#NAME?</v>
      </c>
    </row>
    <row r="184" spans="1:31" x14ac:dyDescent="0.3">
      <c r="A184" s="26">
        <f ca="1"/>
        <v>182</v>
      </c>
      <c r="B184" s="28"/>
      <c r="C184" s="28"/>
      <c r="D184" s="31" t="str">
        <f ca="1"/>
        <v>1100</v>
      </c>
      <c r="F184">
        <f ca="1"/>
        <v>0</v>
      </c>
      <c r="G184">
        <f ca="1"/>
        <v>0</v>
      </c>
      <c r="H184" s="28" t="str">
        <f ca="1"/>
        <v>ZZZZZ@@@@@@@@@@@@@@@@@@@@@@@@@@@182</v>
      </c>
      <c r="I184" s="28" t="str">
        <f ca="1"/>
        <v>ZZZZZ@@@182</v>
      </c>
      <c r="J184" s="28" t="e">
        <f ca="1"/>
        <v>#NAME?</v>
      </c>
      <c r="K184" s="28" t="e">
        <f ca="1"/>
        <v>#NAME?</v>
      </c>
      <c r="L184" s="28" t="e">
        <f ca="1"/>
        <v>#NAME?</v>
      </c>
      <c r="M184" s="28" t="e">
        <f ca="1"/>
        <v>#NAME?</v>
      </c>
      <c r="N184" t="e">
        <f ca="1"/>
        <v>#NAME?</v>
      </c>
      <c r="O184" t="e">
        <f ca="1"/>
        <v>#NAME?</v>
      </c>
      <c r="P184" t="str">
        <f ca="1"/>
        <v/>
      </c>
      <c r="Q184" t="str">
        <f ca="1"/>
        <v/>
      </c>
      <c r="R184">
        <f ca="1"/>
        <v>12</v>
      </c>
      <c r="S184" t="str">
        <f ca="1"/>
        <v>ZZZZZ</v>
      </c>
      <c r="T184" t="str">
        <f ca="1"/>
        <v>ZZZZZ</v>
      </c>
      <c r="U184" t="e">
        <f ca="1"/>
        <v>#NAME?</v>
      </c>
      <c r="V184" t="e">
        <f ca="1"/>
        <v>#NAME?</v>
      </c>
      <c r="W184" t="e">
        <f ca="1"/>
        <v>#NAME?</v>
      </c>
      <c r="X184" t="e">
        <f ca="1"/>
        <v>#NAME?</v>
      </c>
      <c r="Y184" t="e" cm="1">
        <f t="array" aca="1" ref="Y184" ca="1">IF(W184&lt;&gt;"", SUMPRODUCT( (input!H:H=tipos_eqs!W184)*1 ), "")</f>
        <v>#NAME?</v>
      </c>
      <c r="Z184" t="e">
        <f ca="1"/>
        <v>#NAME?</v>
      </c>
      <c r="AC184" t="str">
        <f t="shared" ca="1" si="10"/>
        <v/>
      </c>
      <c r="AD184" t="e">
        <f t="shared" ca="1" si="11"/>
        <v>#NAME?</v>
      </c>
      <c r="AE184" t="e">
        <f t="shared" ca="1" si="9"/>
        <v>#NAME?</v>
      </c>
    </row>
    <row r="185" spans="1:31" x14ac:dyDescent="0.3">
      <c r="A185" s="26">
        <f ca="1"/>
        <v>183</v>
      </c>
      <c r="B185" s="28"/>
      <c r="C185" s="28"/>
      <c r="D185" s="31" t="str">
        <f ca="1"/>
        <v>1100</v>
      </c>
      <c r="F185">
        <f ca="1"/>
        <v>0</v>
      </c>
      <c r="G185">
        <f ca="1"/>
        <v>0</v>
      </c>
      <c r="H185" s="28" t="str">
        <f ca="1"/>
        <v>ZZZZZ@@@@@@@@@@@@@@@@@@@@@@@@@@@183</v>
      </c>
      <c r="I185" s="28" t="str">
        <f ca="1"/>
        <v>ZZZZZ@@@183</v>
      </c>
      <c r="J185" s="28" t="e">
        <f ca="1"/>
        <v>#NAME?</v>
      </c>
      <c r="K185" s="28" t="e">
        <f ca="1"/>
        <v>#NAME?</v>
      </c>
      <c r="L185" s="28" t="e">
        <f ca="1"/>
        <v>#NAME?</v>
      </c>
      <c r="M185" s="28" t="e">
        <f ca="1"/>
        <v>#NAME?</v>
      </c>
      <c r="N185" t="e">
        <f ca="1"/>
        <v>#NAME?</v>
      </c>
      <c r="O185" t="e">
        <f ca="1"/>
        <v>#NAME?</v>
      </c>
      <c r="P185" t="str">
        <f ca="1"/>
        <v/>
      </c>
      <c r="Q185" t="str">
        <f ca="1"/>
        <v/>
      </c>
      <c r="R185">
        <f ca="1"/>
        <v>12</v>
      </c>
      <c r="S185" t="str">
        <f ca="1"/>
        <v>ZZZZZ</v>
      </c>
      <c r="T185" t="str">
        <f ca="1"/>
        <v>ZZZZZ</v>
      </c>
      <c r="U185" t="e">
        <f ca="1"/>
        <v>#NAME?</v>
      </c>
      <c r="V185" t="e">
        <f ca="1"/>
        <v>#NAME?</v>
      </c>
      <c r="W185" t="e">
        <f ca="1"/>
        <v>#NAME?</v>
      </c>
      <c r="X185" t="e">
        <f ca="1"/>
        <v>#NAME?</v>
      </c>
      <c r="Y185" t="e" cm="1">
        <f t="array" aca="1" ref="Y185" ca="1">IF(W185&lt;&gt;"", SUMPRODUCT( (input!H:H=tipos_eqs!W185)*1 ), "")</f>
        <v>#NAME?</v>
      </c>
      <c r="Z185" t="e">
        <f ca="1"/>
        <v>#NAME?</v>
      </c>
      <c r="AC185" t="str">
        <f t="shared" ca="1" si="10"/>
        <v/>
      </c>
      <c r="AD185" t="e">
        <f t="shared" ca="1" si="11"/>
        <v>#NAME?</v>
      </c>
      <c r="AE185" t="e">
        <f t="shared" ca="1" si="9"/>
        <v>#NAME?</v>
      </c>
    </row>
    <row r="186" spans="1:31" x14ac:dyDescent="0.3">
      <c r="A186" s="26">
        <f ca="1"/>
        <v>184</v>
      </c>
      <c r="B186" s="28"/>
      <c r="C186" s="28"/>
      <c r="D186" s="31" t="str">
        <f ca="1"/>
        <v>1100</v>
      </c>
      <c r="F186">
        <f ca="1"/>
        <v>0</v>
      </c>
      <c r="G186">
        <f ca="1"/>
        <v>0</v>
      </c>
      <c r="H186" s="28" t="str">
        <f ca="1"/>
        <v>ZZZZZ@@@@@@@@@@@@@@@@@@@@@@@@@@@184</v>
      </c>
      <c r="I186" s="28" t="str">
        <f ca="1"/>
        <v>ZZZZZ@@@184</v>
      </c>
      <c r="J186" s="28" t="e">
        <f ca="1"/>
        <v>#NAME?</v>
      </c>
      <c r="K186" s="28" t="e">
        <f ca="1"/>
        <v>#NAME?</v>
      </c>
      <c r="L186" s="28" t="e">
        <f ca="1"/>
        <v>#NAME?</v>
      </c>
      <c r="M186" s="28" t="e">
        <f ca="1"/>
        <v>#NAME?</v>
      </c>
      <c r="N186" t="e">
        <f ca="1"/>
        <v>#NAME?</v>
      </c>
      <c r="O186" t="e">
        <f ca="1"/>
        <v>#NAME?</v>
      </c>
      <c r="P186" t="str">
        <f ca="1"/>
        <v/>
      </c>
      <c r="Q186" t="str">
        <f ca="1"/>
        <v/>
      </c>
      <c r="R186">
        <f ca="1"/>
        <v>12</v>
      </c>
      <c r="S186" t="str">
        <f ca="1"/>
        <v>ZZZZZ</v>
      </c>
      <c r="T186" t="str">
        <f ca="1"/>
        <v>ZZZZZ</v>
      </c>
      <c r="U186" t="e">
        <f ca="1"/>
        <v>#NAME?</v>
      </c>
      <c r="V186" t="e">
        <f ca="1"/>
        <v>#NAME?</v>
      </c>
      <c r="W186" t="e">
        <f ca="1"/>
        <v>#NAME?</v>
      </c>
      <c r="X186" t="e">
        <f ca="1"/>
        <v>#NAME?</v>
      </c>
      <c r="Y186" t="e" cm="1">
        <f t="array" aca="1" ref="Y186" ca="1">IF(W186&lt;&gt;"", SUMPRODUCT( (input!H:H=tipos_eqs!W186)*1 ), "")</f>
        <v>#NAME?</v>
      </c>
      <c r="Z186" t="e">
        <f ca="1"/>
        <v>#NAME?</v>
      </c>
      <c r="AC186" t="str">
        <f t="shared" ca="1" si="10"/>
        <v/>
      </c>
      <c r="AD186" t="e">
        <f t="shared" ca="1" si="11"/>
        <v>#NAME?</v>
      </c>
      <c r="AE186" t="e">
        <f t="shared" ca="1" si="9"/>
        <v>#NAME?</v>
      </c>
    </row>
    <row r="187" spans="1:31" x14ac:dyDescent="0.3">
      <c r="A187" s="26">
        <f ca="1"/>
        <v>185</v>
      </c>
      <c r="B187" s="28"/>
      <c r="C187" s="28"/>
      <c r="D187" s="31" t="str">
        <f ca="1"/>
        <v>1100</v>
      </c>
      <c r="F187">
        <f ca="1"/>
        <v>0</v>
      </c>
      <c r="G187">
        <f ca="1"/>
        <v>0</v>
      </c>
      <c r="H187" s="28" t="str">
        <f ca="1"/>
        <v>ZZZZZ@@@@@@@@@@@@@@@@@@@@@@@@@@@185</v>
      </c>
      <c r="I187" s="28" t="str">
        <f ca="1"/>
        <v>ZZZZZ@@@185</v>
      </c>
      <c r="J187" s="28" t="e">
        <f ca="1"/>
        <v>#NAME?</v>
      </c>
      <c r="K187" s="28" t="e">
        <f ca="1"/>
        <v>#NAME?</v>
      </c>
      <c r="L187" s="28" t="e">
        <f ca="1"/>
        <v>#NAME?</v>
      </c>
      <c r="M187" s="28" t="e">
        <f ca="1"/>
        <v>#NAME?</v>
      </c>
      <c r="N187" t="e">
        <f ca="1"/>
        <v>#NAME?</v>
      </c>
      <c r="O187" t="e">
        <f ca="1"/>
        <v>#NAME?</v>
      </c>
      <c r="P187" t="str">
        <f ca="1"/>
        <v/>
      </c>
      <c r="Q187" t="str">
        <f ca="1"/>
        <v/>
      </c>
      <c r="R187">
        <f ca="1"/>
        <v>12</v>
      </c>
      <c r="S187" t="str">
        <f ca="1"/>
        <v>ZZZZZ</v>
      </c>
      <c r="T187" t="str">
        <f ca="1"/>
        <v>ZZZZZ</v>
      </c>
      <c r="U187" t="e">
        <f ca="1"/>
        <v>#NAME?</v>
      </c>
      <c r="V187" t="e">
        <f ca="1"/>
        <v>#NAME?</v>
      </c>
      <c r="W187" t="e">
        <f ca="1"/>
        <v>#NAME?</v>
      </c>
      <c r="X187" t="e">
        <f ca="1"/>
        <v>#NAME?</v>
      </c>
      <c r="Y187" t="e" cm="1">
        <f t="array" aca="1" ref="Y187" ca="1">IF(W187&lt;&gt;"", SUMPRODUCT( (input!H:H=tipos_eqs!W187)*1 ), "")</f>
        <v>#NAME?</v>
      </c>
      <c r="Z187" t="e">
        <f ca="1"/>
        <v>#NAME?</v>
      </c>
      <c r="AC187" t="str">
        <f t="shared" ca="1" si="10"/>
        <v/>
      </c>
      <c r="AD187" t="e">
        <f t="shared" ca="1" si="11"/>
        <v>#NAME?</v>
      </c>
      <c r="AE187" t="e">
        <f t="shared" ca="1" si="9"/>
        <v>#NAME?</v>
      </c>
    </row>
    <row r="188" spans="1:31" x14ac:dyDescent="0.3">
      <c r="A188" s="26">
        <f ca="1"/>
        <v>186</v>
      </c>
      <c r="B188" s="28"/>
      <c r="C188" s="28"/>
      <c r="D188" s="31" t="str">
        <f ca="1"/>
        <v>1100</v>
      </c>
      <c r="F188">
        <f ca="1"/>
        <v>0</v>
      </c>
      <c r="G188">
        <f ca="1"/>
        <v>0</v>
      </c>
      <c r="H188" s="28" t="str">
        <f ca="1"/>
        <v>ZZZZZ@@@@@@@@@@@@@@@@@@@@@@@@@@@186</v>
      </c>
      <c r="I188" s="28" t="str">
        <f ca="1"/>
        <v>ZZZZZ@@@186</v>
      </c>
      <c r="J188" s="28" t="e">
        <f ca="1"/>
        <v>#NAME?</v>
      </c>
      <c r="K188" s="28" t="e">
        <f ca="1"/>
        <v>#NAME?</v>
      </c>
      <c r="L188" s="28" t="e">
        <f ca="1"/>
        <v>#NAME?</v>
      </c>
      <c r="M188" s="28" t="e">
        <f ca="1"/>
        <v>#NAME?</v>
      </c>
      <c r="N188" t="e">
        <f ca="1"/>
        <v>#NAME?</v>
      </c>
      <c r="O188" t="e">
        <f ca="1"/>
        <v>#NAME?</v>
      </c>
      <c r="P188" t="str">
        <f ca="1"/>
        <v/>
      </c>
      <c r="Q188" t="str">
        <f ca="1"/>
        <v/>
      </c>
      <c r="R188">
        <f ca="1"/>
        <v>12</v>
      </c>
      <c r="S188" t="str">
        <f ca="1"/>
        <v>ZZZZZ</v>
      </c>
      <c r="T188" t="str">
        <f ca="1"/>
        <v>ZZZZZ</v>
      </c>
      <c r="U188" t="e">
        <f ca="1"/>
        <v>#NAME?</v>
      </c>
      <c r="V188" t="e">
        <f ca="1"/>
        <v>#NAME?</v>
      </c>
      <c r="W188" t="e">
        <f ca="1"/>
        <v>#NAME?</v>
      </c>
      <c r="X188" t="e">
        <f ca="1"/>
        <v>#NAME?</v>
      </c>
      <c r="Y188" t="e" cm="1">
        <f t="array" aca="1" ref="Y188" ca="1">IF(W188&lt;&gt;"", SUMPRODUCT( (input!H:H=tipos_eqs!W188)*1 ), "")</f>
        <v>#NAME?</v>
      </c>
      <c r="Z188" t="e">
        <f ca="1"/>
        <v>#NAME?</v>
      </c>
      <c r="AC188" t="str">
        <f t="shared" ca="1" si="10"/>
        <v/>
      </c>
      <c r="AD188" t="e">
        <f t="shared" ca="1" si="11"/>
        <v>#NAME?</v>
      </c>
      <c r="AE188" t="e">
        <f t="shared" ca="1" si="9"/>
        <v>#NAME?</v>
      </c>
    </row>
    <row r="189" spans="1:31" x14ac:dyDescent="0.3">
      <c r="A189" s="26">
        <f ca="1"/>
        <v>187</v>
      </c>
      <c r="B189" s="28"/>
      <c r="C189" s="28"/>
      <c r="D189" s="31" t="str">
        <f ca="1"/>
        <v>1100</v>
      </c>
      <c r="F189">
        <f ca="1"/>
        <v>0</v>
      </c>
      <c r="G189">
        <f ca="1"/>
        <v>0</v>
      </c>
      <c r="H189" s="28" t="str">
        <f ca="1"/>
        <v>ZZZZZ@@@@@@@@@@@@@@@@@@@@@@@@@@@187</v>
      </c>
      <c r="I189" s="28" t="str">
        <f ca="1"/>
        <v>ZZZZZ@@@187</v>
      </c>
      <c r="J189" s="28" t="e">
        <f ca="1"/>
        <v>#NAME?</v>
      </c>
      <c r="K189" s="28" t="e">
        <f ca="1"/>
        <v>#NAME?</v>
      </c>
      <c r="L189" s="28" t="e">
        <f ca="1"/>
        <v>#NAME?</v>
      </c>
      <c r="M189" s="28" t="e">
        <f ca="1"/>
        <v>#NAME?</v>
      </c>
      <c r="N189" t="e">
        <f ca="1"/>
        <v>#NAME?</v>
      </c>
      <c r="O189" t="e">
        <f ca="1"/>
        <v>#NAME?</v>
      </c>
      <c r="P189" t="str">
        <f ca="1"/>
        <v/>
      </c>
      <c r="Q189" t="str">
        <f ca="1"/>
        <v/>
      </c>
      <c r="R189">
        <f ca="1"/>
        <v>12</v>
      </c>
      <c r="S189" t="str">
        <f ca="1"/>
        <v>ZZZZZ</v>
      </c>
      <c r="T189" t="str">
        <f ca="1"/>
        <v>ZZZZZ</v>
      </c>
      <c r="U189" t="e">
        <f ca="1"/>
        <v>#NAME?</v>
      </c>
      <c r="V189" t="e">
        <f ca="1"/>
        <v>#NAME?</v>
      </c>
      <c r="W189" t="e">
        <f ca="1"/>
        <v>#NAME?</v>
      </c>
      <c r="X189" t="e">
        <f ca="1"/>
        <v>#NAME?</v>
      </c>
      <c r="Y189" t="e" cm="1">
        <f t="array" aca="1" ref="Y189" ca="1">IF(W189&lt;&gt;"", SUMPRODUCT( (input!H:H=tipos_eqs!W189)*1 ), "")</f>
        <v>#NAME?</v>
      </c>
      <c r="Z189" t="e">
        <f ca="1"/>
        <v>#NAME?</v>
      </c>
      <c r="AC189" t="str">
        <f t="shared" ca="1" si="10"/>
        <v/>
      </c>
      <c r="AD189" t="e">
        <f t="shared" ca="1" si="11"/>
        <v>#NAME?</v>
      </c>
      <c r="AE189" t="e">
        <f t="shared" ca="1" si="9"/>
        <v>#NAME?</v>
      </c>
    </row>
    <row r="190" spans="1:31" x14ac:dyDescent="0.3">
      <c r="A190" s="26">
        <f ca="1"/>
        <v>188</v>
      </c>
      <c r="B190" s="28"/>
      <c r="C190" s="28"/>
      <c r="D190" s="31" t="str">
        <f ca="1"/>
        <v>1100</v>
      </c>
      <c r="F190">
        <f ca="1"/>
        <v>0</v>
      </c>
      <c r="G190">
        <f ca="1"/>
        <v>0</v>
      </c>
      <c r="H190" s="28" t="str">
        <f ca="1"/>
        <v>ZZZZZ@@@@@@@@@@@@@@@@@@@@@@@@@@@188</v>
      </c>
      <c r="I190" s="28" t="str">
        <f ca="1"/>
        <v>ZZZZZ@@@188</v>
      </c>
      <c r="J190" s="28" t="e">
        <f ca="1"/>
        <v>#NAME?</v>
      </c>
      <c r="K190" s="28" t="e">
        <f ca="1"/>
        <v>#NAME?</v>
      </c>
      <c r="L190" s="28" t="e">
        <f ca="1"/>
        <v>#NAME?</v>
      </c>
      <c r="M190" s="28" t="e">
        <f ca="1"/>
        <v>#NAME?</v>
      </c>
      <c r="N190" t="e">
        <f ca="1"/>
        <v>#NAME?</v>
      </c>
      <c r="O190" t="e">
        <f ca="1"/>
        <v>#NAME?</v>
      </c>
      <c r="P190" t="str">
        <f ca="1"/>
        <v/>
      </c>
      <c r="Q190" t="str">
        <f ca="1"/>
        <v/>
      </c>
      <c r="R190">
        <f ca="1"/>
        <v>12</v>
      </c>
      <c r="S190" t="str">
        <f ca="1"/>
        <v>ZZZZZ</v>
      </c>
      <c r="T190" t="str">
        <f ca="1"/>
        <v>ZZZZZ</v>
      </c>
      <c r="U190" t="e">
        <f ca="1"/>
        <v>#NAME?</v>
      </c>
      <c r="V190" t="e">
        <f ca="1"/>
        <v>#NAME?</v>
      </c>
      <c r="W190" t="e">
        <f ca="1"/>
        <v>#NAME?</v>
      </c>
      <c r="X190" t="e">
        <f ca="1"/>
        <v>#NAME?</v>
      </c>
      <c r="Y190" t="e" cm="1">
        <f t="array" aca="1" ref="Y190" ca="1">IF(W190&lt;&gt;"", SUMPRODUCT( (input!H:H=tipos_eqs!W190)*1 ), "")</f>
        <v>#NAME?</v>
      </c>
      <c r="Z190" t="e">
        <f ca="1"/>
        <v>#NAME?</v>
      </c>
      <c r="AC190" t="str">
        <f t="shared" ca="1" si="10"/>
        <v/>
      </c>
      <c r="AD190" t="e">
        <f t="shared" ca="1" si="11"/>
        <v>#NAME?</v>
      </c>
      <c r="AE190" t="e">
        <f t="shared" ca="1" si="9"/>
        <v>#NAME?</v>
      </c>
    </row>
    <row r="191" spans="1:31" x14ac:dyDescent="0.3">
      <c r="A191" s="26">
        <f ca="1"/>
        <v>189</v>
      </c>
      <c r="B191" s="28"/>
      <c r="C191" s="28"/>
      <c r="D191" s="31" t="str">
        <f ca="1"/>
        <v>1100</v>
      </c>
      <c r="F191">
        <f ca="1"/>
        <v>0</v>
      </c>
      <c r="G191">
        <f ca="1"/>
        <v>0</v>
      </c>
      <c r="H191" s="28" t="str">
        <f ca="1"/>
        <v>ZZZZZ@@@@@@@@@@@@@@@@@@@@@@@@@@@189</v>
      </c>
      <c r="I191" s="28" t="str">
        <f ca="1"/>
        <v>ZZZZZ@@@189</v>
      </c>
      <c r="J191" s="28" t="e">
        <f ca="1"/>
        <v>#NAME?</v>
      </c>
      <c r="K191" s="28" t="e">
        <f ca="1"/>
        <v>#NAME?</v>
      </c>
      <c r="L191" s="28" t="e">
        <f ca="1"/>
        <v>#NAME?</v>
      </c>
      <c r="M191" s="28" t="e">
        <f ca="1"/>
        <v>#NAME?</v>
      </c>
      <c r="N191" t="e">
        <f ca="1"/>
        <v>#NAME?</v>
      </c>
      <c r="O191" t="e">
        <f ca="1"/>
        <v>#NAME?</v>
      </c>
      <c r="P191" t="str">
        <f ca="1"/>
        <v/>
      </c>
      <c r="Q191" t="str">
        <f ca="1"/>
        <v/>
      </c>
      <c r="R191">
        <f ca="1"/>
        <v>12</v>
      </c>
      <c r="S191" t="str">
        <f ca="1"/>
        <v>ZZZZZ</v>
      </c>
      <c r="T191" t="str">
        <f ca="1"/>
        <v>ZZZZZ</v>
      </c>
      <c r="U191" t="e">
        <f ca="1"/>
        <v>#NAME?</v>
      </c>
      <c r="V191" t="e">
        <f ca="1"/>
        <v>#NAME?</v>
      </c>
      <c r="W191" t="e">
        <f ca="1"/>
        <v>#NAME?</v>
      </c>
      <c r="X191" t="e">
        <f ca="1"/>
        <v>#NAME?</v>
      </c>
      <c r="Y191" t="e" cm="1">
        <f t="array" aca="1" ref="Y191" ca="1">IF(W191&lt;&gt;"", SUMPRODUCT( (input!H:H=tipos_eqs!W191)*1 ), "")</f>
        <v>#NAME?</v>
      </c>
      <c r="Z191" t="e">
        <f ca="1"/>
        <v>#NAME?</v>
      </c>
      <c r="AC191" t="str">
        <f t="shared" ca="1" si="10"/>
        <v/>
      </c>
      <c r="AD191" t="e">
        <f t="shared" ca="1" si="11"/>
        <v>#NAME?</v>
      </c>
      <c r="AE191" t="e">
        <f t="shared" ca="1" si="9"/>
        <v>#NAME?</v>
      </c>
    </row>
    <row r="192" spans="1:31" x14ac:dyDescent="0.3">
      <c r="A192" s="26">
        <f ca="1"/>
        <v>190</v>
      </c>
      <c r="B192" s="28"/>
      <c r="C192" s="28"/>
      <c r="D192" s="31" t="str">
        <f ca="1"/>
        <v>1100</v>
      </c>
      <c r="F192">
        <f ca="1"/>
        <v>0</v>
      </c>
      <c r="G192">
        <f ca="1"/>
        <v>0</v>
      </c>
      <c r="H192" s="28" t="str">
        <f ca="1"/>
        <v>ZZZZZ@@@@@@@@@@@@@@@@@@@@@@@@@@@190</v>
      </c>
      <c r="I192" s="28" t="str">
        <f ca="1"/>
        <v>ZZZZZ@@@190</v>
      </c>
      <c r="J192" s="28" t="e">
        <f ca="1"/>
        <v>#NAME?</v>
      </c>
      <c r="K192" s="28" t="e">
        <f ca="1"/>
        <v>#NAME?</v>
      </c>
      <c r="L192" s="28" t="e">
        <f ca="1"/>
        <v>#NAME?</v>
      </c>
      <c r="M192" s="28" t="e">
        <f ca="1"/>
        <v>#NAME?</v>
      </c>
      <c r="N192" t="e">
        <f ca="1"/>
        <v>#NAME?</v>
      </c>
      <c r="O192" t="e">
        <f ca="1"/>
        <v>#NAME?</v>
      </c>
      <c r="P192" t="str">
        <f ca="1"/>
        <v/>
      </c>
      <c r="Q192" t="str">
        <f ca="1"/>
        <v/>
      </c>
      <c r="R192">
        <f ca="1"/>
        <v>12</v>
      </c>
      <c r="S192" t="str">
        <f ca="1"/>
        <v>ZZZZZ</v>
      </c>
      <c r="T192" t="str">
        <f ca="1"/>
        <v>ZZZZZ</v>
      </c>
      <c r="U192" t="e">
        <f ca="1"/>
        <v>#NAME?</v>
      </c>
      <c r="V192" t="e">
        <f ca="1"/>
        <v>#NAME?</v>
      </c>
      <c r="W192" t="e">
        <f ca="1"/>
        <v>#NAME?</v>
      </c>
      <c r="X192" t="e">
        <f ca="1"/>
        <v>#NAME?</v>
      </c>
      <c r="Y192" t="e" cm="1">
        <f t="array" aca="1" ref="Y192" ca="1">IF(W192&lt;&gt;"", SUMPRODUCT( (input!H:H=tipos_eqs!W192)*1 ), "")</f>
        <v>#NAME?</v>
      </c>
      <c r="Z192" t="e">
        <f ca="1"/>
        <v>#NAME?</v>
      </c>
      <c r="AC192" t="str">
        <f t="shared" ca="1" si="10"/>
        <v/>
      </c>
      <c r="AD192" t="e">
        <f t="shared" ca="1" si="11"/>
        <v>#NAME?</v>
      </c>
      <c r="AE192" t="e">
        <f t="shared" ca="1" si="9"/>
        <v>#NAME?</v>
      </c>
    </row>
    <row r="193" spans="1:31" x14ac:dyDescent="0.3">
      <c r="A193" s="26">
        <f ca="1"/>
        <v>191</v>
      </c>
      <c r="B193" s="28"/>
      <c r="C193" s="28"/>
      <c r="D193" s="31" t="str">
        <f ca="1"/>
        <v>1100</v>
      </c>
      <c r="F193">
        <f ca="1"/>
        <v>0</v>
      </c>
      <c r="G193">
        <f ca="1"/>
        <v>0</v>
      </c>
      <c r="H193" s="28" t="str">
        <f ca="1"/>
        <v>ZZZZZ@@@@@@@@@@@@@@@@@@@@@@@@@@@191</v>
      </c>
      <c r="I193" s="28" t="str">
        <f ca="1"/>
        <v>ZZZZZ@@@191</v>
      </c>
      <c r="J193" s="28" t="e">
        <f ca="1"/>
        <v>#NAME?</v>
      </c>
      <c r="K193" s="28" t="e">
        <f ca="1"/>
        <v>#NAME?</v>
      </c>
      <c r="L193" s="28" t="e">
        <f ca="1"/>
        <v>#NAME?</v>
      </c>
      <c r="M193" s="28" t="e">
        <f ca="1"/>
        <v>#NAME?</v>
      </c>
      <c r="N193" t="e">
        <f ca="1"/>
        <v>#NAME?</v>
      </c>
      <c r="O193" t="e">
        <f ca="1"/>
        <v>#NAME?</v>
      </c>
      <c r="P193" t="str">
        <f ca="1"/>
        <v/>
      </c>
      <c r="Q193" t="str">
        <f ca="1"/>
        <v/>
      </c>
      <c r="R193">
        <f ca="1"/>
        <v>12</v>
      </c>
      <c r="S193" t="str">
        <f ca="1"/>
        <v>ZZZZZ</v>
      </c>
      <c r="T193" t="str">
        <f ca="1"/>
        <v>ZZZZZ</v>
      </c>
      <c r="U193" t="e">
        <f ca="1"/>
        <v>#NAME?</v>
      </c>
      <c r="V193" t="e">
        <f ca="1"/>
        <v>#NAME?</v>
      </c>
      <c r="W193" t="e">
        <f ca="1"/>
        <v>#NAME?</v>
      </c>
      <c r="X193" t="e">
        <f ca="1"/>
        <v>#NAME?</v>
      </c>
      <c r="Y193" t="e" cm="1">
        <f t="array" aca="1" ref="Y193" ca="1">IF(W193&lt;&gt;"", SUMPRODUCT( (input!H:H=tipos_eqs!W193)*1 ), "")</f>
        <v>#NAME?</v>
      </c>
      <c r="Z193" t="e">
        <f ca="1"/>
        <v>#NAME?</v>
      </c>
      <c r="AC193" t="str">
        <f t="shared" ca="1" si="10"/>
        <v/>
      </c>
      <c r="AD193" t="e">
        <f t="shared" ca="1" si="11"/>
        <v>#NAME?</v>
      </c>
      <c r="AE193" t="e">
        <f t="shared" ca="1" si="9"/>
        <v>#NAME?</v>
      </c>
    </row>
    <row r="194" spans="1:31" x14ac:dyDescent="0.3">
      <c r="A194" s="26">
        <f ca="1"/>
        <v>192</v>
      </c>
      <c r="B194" s="28"/>
      <c r="C194" s="28"/>
      <c r="D194" s="31" t="str">
        <f ca="1"/>
        <v>1100</v>
      </c>
      <c r="F194">
        <f ca="1"/>
        <v>0</v>
      </c>
      <c r="G194">
        <f ca="1"/>
        <v>0</v>
      </c>
      <c r="H194" s="28" t="str">
        <f ca="1"/>
        <v>ZZZZZ@@@@@@@@@@@@@@@@@@@@@@@@@@@192</v>
      </c>
      <c r="I194" s="28" t="str">
        <f ca="1"/>
        <v>ZZZZZ@@@192</v>
      </c>
      <c r="J194" s="28" t="e">
        <f ca="1"/>
        <v>#NAME?</v>
      </c>
      <c r="K194" s="28" t="e">
        <f ca="1"/>
        <v>#NAME?</v>
      </c>
      <c r="L194" s="28" t="e">
        <f ca="1"/>
        <v>#NAME?</v>
      </c>
      <c r="M194" s="28" t="e">
        <f ca="1"/>
        <v>#NAME?</v>
      </c>
      <c r="N194" t="e">
        <f ca="1"/>
        <v>#NAME?</v>
      </c>
      <c r="O194" t="e">
        <f ca="1"/>
        <v>#NAME?</v>
      </c>
      <c r="P194" t="str">
        <f ca="1"/>
        <v/>
      </c>
      <c r="Q194" t="str">
        <f ca="1"/>
        <v/>
      </c>
      <c r="R194">
        <f ca="1"/>
        <v>12</v>
      </c>
      <c r="S194" t="str">
        <f ca="1"/>
        <v>ZZZZZ</v>
      </c>
      <c r="T194" t="str">
        <f ca="1"/>
        <v>ZZZZZ</v>
      </c>
      <c r="U194" t="e">
        <f ca="1"/>
        <v>#NAME?</v>
      </c>
      <c r="V194" t="e">
        <f ca="1"/>
        <v>#NAME?</v>
      </c>
      <c r="W194" t="e">
        <f ca="1"/>
        <v>#NAME?</v>
      </c>
      <c r="X194" t="e">
        <f ca="1"/>
        <v>#NAME?</v>
      </c>
      <c r="Y194" t="e" cm="1">
        <f t="array" aca="1" ref="Y194" ca="1">IF(W194&lt;&gt;"", SUMPRODUCT( (input!H:H=tipos_eqs!W194)*1 ), "")</f>
        <v>#NAME?</v>
      </c>
      <c r="Z194" t="e">
        <f ca="1"/>
        <v>#NAME?</v>
      </c>
      <c r="AC194" t="str">
        <f t="shared" ca="1" si="10"/>
        <v/>
      </c>
      <c r="AD194" t="e">
        <f t="shared" ca="1" si="11"/>
        <v>#NAME?</v>
      </c>
      <c r="AE194" t="e">
        <f t="shared" ca="1" si="9"/>
        <v>#NAME?</v>
      </c>
    </row>
    <row r="195" spans="1:31" x14ac:dyDescent="0.3">
      <c r="A195" s="26">
        <f ca="1"/>
        <v>193</v>
      </c>
      <c r="B195" s="28"/>
      <c r="C195" s="28"/>
      <c r="D195" s="31" t="str">
        <f ca="1"/>
        <v>1100</v>
      </c>
      <c r="F195">
        <f ca="1"/>
        <v>0</v>
      </c>
      <c r="G195">
        <f ca="1"/>
        <v>0</v>
      </c>
      <c r="H195" s="28" t="str">
        <f ca="1"/>
        <v>ZZZZZ@@@@@@@@@@@@@@@@@@@@@@@@@@@193</v>
      </c>
      <c r="I195" s="28" t="str">
        <f ca="1"/>
        <v>ZZZZZ@@@193</v>
      </c>
      <c r="J195" s="28" t="e">
        <f ca="1"/>
        <v>#NAME?</v>
      </c>
      <c r="K195" s="28" t="e">
        <f ca="1"/>
        <v>#NAME?</v>
      </c>
      <c r="L195" s="28" t="e">
        <f ca="1"/>
        <v>#NAME?</v>
      </c>
      <c r="M195" s="28" t="e">
        <f ca="1"/>
        <v>#NAME?</v>
      </c>
      <c r="N195" t="e">
        <f ca="1"/>
        <v>#NAME?</v>
      </c>
      <c r="O195" t="e">
        <f ca="1"/>
        <v>#NAME?</v>
      </c>
      <c r="P195" t="str">
        <f ca="1"/>
        <v/>
      </c>
      <c r="Q195" t="str">
        <f ca="1"/>
        <v/>
      </c>
      <c r="R195">
        <f ca="1"/>
        <v>12</v>
      </c>
      <c r="S195" t="str">
        <f ca="1"/>
        <v>ZZZZZ</v>
      </c>
      <c r="T195" t="str">
        <f ca="1"/>
        <v>ZZZZZ</v>
      </c>
      <c r="U195" t="e">
        <f ca="1"/>
        <v>#NAME?</v>
      </c>
      <c r="V195" t="e">
        <f ca="1"/>
        <v>#NAME?</v>
      </c>
      <c r="W195" t="e">
        <f ca="1"/>
        <v>#NAME?</v>
      </c>
      <c r="X195" t="e">
        <f ca="1"/>
        <v>#NAME?</v>
      </c>
      <c r="Y195" t="e" cm="1">
        <f t="array" aca="1" ref="Y195" ca="1">IF(W195&lt;&gt;"", SUMPRODUCT( (input!H:H=tipos_eqs!W195)*1 ), "")</f>
        <v>#NAME?</v>
      </c>
      <c r="Z195" t="e">
        <f ca="1"/>
        <v>#NAME?</v>
      </c>
      <c r="AC195" t="str">
        <f t="shared" ca="1" si="10"/>
        <v/>
      </c>
      <c r="AD195" t="e">
        <f t="shared" ca="1" si="11"/>
        <v>#NAME?</v>
      </c>
      <c r="AE195" t="e">
        <f t="shared" ca="1" si="9"/>
        <v>#NAME?</v>
      </c>
    </row>
    <row r="196" spans="1:31" x14ac:dyDescent="0.3">
      <c r="A196" s="26">
        <f ca="1"/>
        <v>194</v>
      </c>
      <c r="B196" s="28"/>
      <c r="C196" s="28"/>
      <c r="D196" s="31" t="str">
        <f ca="1"/>
        <v>1100</v>
      </c>
      <c r="F196">
        <f ca="1"/>
        <v>0</v>
      </c>
      <c r="G196">
        <f ca="1"/>
        <v>0</v>
      </c>
      <c r="H196" s="28" t="str">
        <f ca="1"/>
        <v>ZZZZZ@@@@@@@@@@@@@@@@@@@@@@@@@@@194</v>
      </c>
      <c r="I196" s="28" t="str">
        <f ca="1"/>
        <v>ZZZZZ@@@194</v>
      </c>
      <c r="J196" s="28" t="e">
        <f ca="1"/>
        <v>#NAME?</v>
      </c>
      <c r="K196" s="28" t="e">
        <f ca="1"/>
        <v>#NAME?</v>
      </c>
      <c r="L196" s="28" t="e">
        <f ca="1"/>
        <v>#NAME?</v>
      </c>
      <c r="M196" s="28" t="e">
        <f ca="1"/>
        <v>#NAME?</v>
      </c>
      <c r="N196" t="e">
        <f ca="1"/>
        <v>#NAME?</v>
      </c>
      <c r="O196" t="e">
        <f ca="1"/>
        <v>#NAME?</v>
      </c>
      <c r="P196" t="str">
        <f ca="1"/>
        <v/>
      </c>
      <c r="Q196" t="str">
        <f ca="1"/>
        <v/>
      </c>
      <c r="R196">
        <f ca="1"/>
        <v>12</v>
      </c>
      <c r="S196" t="str">
        <f ca="1"/>
        <v>ZZZZZ</v>
      </c>
      <c r="T196" t="str">
        <f ca="1"/>
        <v>ZZZZZ</v>
      </c>
      <c r="U196" t="e">
        <f ca="1"/>
        <v>#NAME?</v>
      </c>
      <c r="V196" t="e">
        <f ca="1"/>
        <v>#NAME?</v>
      </c>
      <c r="W196" t="e">
        <f ca="1"/>
        <v>#NAME?</v>
      </c>
      <c r="X196" t="e">
        <f ca="1"/>
        <v>#NAME?</v>
      </c>
      <c r="Y196" t="e" cm="1">
        <f t="array" aca="1" ref="Y196" ca="1">IF(W196&lt;&gt;"", SUMPRODUCT( (input!H:H=tipos_eqs!W196)*1 ), "")</f>
        <v>#NAME?</v>
      </c>
      <c r="Z196" t="e">
        <f ca="1"/>
        <v>#NAME?</v>
      </c>
      <c r="AC196" t="str">
        <f t="shared" ca="1" si="10"/>
        <v/>
      </c>
      <c r="AD196" t="e">
        <f t="shared" ref="AD196:AD203" ca="1" si="12">IF(AA196=AA195, AD195 &amp; ", ", "") &amp; AC196</f>
        <v>#NAME?</v>
      </c>
      <c r="AE196" t="e">
        <f t="shared" ref="AE196:AE203" ca="1" si="13">IF(ISNUMBER(FIND(AD196,AD197)), "ZZZZZ@@", AD196)</f>
        <v>#NAME?</v>
      </c>
    </row>
    <row r="197" spans="1:31" x14ac:dyDescent="0.3">
      <c r="A197" s="26">
        <f ca="1"/>
        <v>195</v>
      </c>
      <c r="B197" s="28"/>
      <c r="C197" s="28"/>
      <c r="D197" s="31" t="str">
        <f ca="1"/>
        <v>1100</v>
      </c>
      <c r="F197">
        <f ca="1"/>
        <v>0</v>
      </c>
      <c r="G197">
        <f ca="1"/>
        <v>0</v>
      </c>
      <c r="H197" s="28" t="str">
        <f ca="1"/>
        <v>ZZZZZ@@@@@@@@@@@@@@@@@@@@@@@@@@@195</v>
      </c>
      <c r="I197" s="28" t="str">
        <f ca="1"/>
        <v>ZZZZZ@@@195</v>
      </c>
      <c r="J197" s="28" t="e">
        <f ca="1"/>
        <v>#NAME?</v>
      </c>
      <c r="K197" s="28" t="e">
        <f ca="1"/>
        <v>#NAME?</v>
      </c>
      <c r="L197" s="28" t="e">
        <f ca="1"/>
        <v>#NAME?</v>
      </c>
      <c r="M197" s="28" t="e">
        <f ca="1"/>
        <v>#NAME?</v>
      </c>
      <c r="N197" t="e">
        <f ca="1"/>
        <v>#NAME?</v>
      </c>
      <c r="O197" t="e">
        <f ca="1"/>
        <v>#NAME?</v>
      </c>
      <c r="P197" t="str">
        <f ca="1"/>
        <v/>
      </c>
      <c r="Q197" t="str">
        <f ca="1"/>
        <v/>
      </c>
      <c r="R197">
        <f ca="1"/>
        <v>12</v>
      </c>
      <c r="S197" t="str">
        <f ca="1"/>
        <v>ZZZZZ</v>
      </c>
      <c r="T197" t="str">
        <f ca="1"/>
        <v>ZZZZZ</v>
      </c>
      <c r="U197" t="e">
        <f ca="1"/>
        <v>#NAME?</v>
      </c>
      <c r="V197" t="e">
        <f ca="1"/>
        <v>#NAME?</v>
      </c>
      <c r="W197" t="e">
        <f ca="1"/>
        <v>#NAME?</v>
      </c>
      <c r="X197" t="e">
        <f ca="1"/>
        <v>#NAME?</v>
      </c>
      <c r="Y197" t="e" cm="1">
        <f t="array" aca="1" ref="Y197" ca="1">IF(W197&lt;&gt;"", SUMPRODUCT( (input!H:H=tipos_eqs!W197)*1 ), "")</f>
        <v>#NAME?</v>
      </c>
      <c r="Z197" t="e">
        <f ca="1"/>
        <v>#NAME?</v>
      </c>
      <c r="AC197" t="str">
        <f t="shared" ref="AC197:AC203" ca="1" si="14">IF(AA197&gt;0, OFFSET(X$2, AB197, 0), "")</f>
        <v/>
      </c>
      <c r="AD197" t="e">
        <f t="shared" ca="1" si="12"/>
        <v>#NAME?</v>
      </c>
      <c r="AE197" t="e">
        <f t="shared" ca="1" si="13"/>
        <v>#NAME?</v>
      </c>
    </row>
    <row r="198" spans="1:31" x14ac:dyDescent="0.3">
      <c r="A198" s="26">
        <f ca="1"/>
        <v>196</v>
      </c>
      <c r="B198" s="28"/>
      <c r="C198" s="28"/>
      <c r="D198" s="31" t="str">
        <f ca="1"/>
        <v>1100</v>
      </c>
      <c r="F198">
        <f ca="1"/>
        <v>0</v>
      </c>
      <c r="G198">
        <f ca="1"/>
        <v>0</v>
      </c>
      <c r="H198" s="28" t="str">
        <f ca="1"/>
        <v>ZZZZZ@@@@@@@@@@@@@@@@@@@@@@@@@@@196</v>
      </c>
      <c r="I198" s="28" t="str">
        <f ca="1"/>
        <v>ZZZZZ@@@196</v>
      </c>
      <c r="J198" s="28" t="e">
        <f ca="1"/>
        <v>#NAME?</v>
      </c>
      <c r="K198" s="28" t="e">
        <f ca="1"/>
        <v>#NAME?</v>
      </c>
      <c r="L198" s="28" t="e">
        <f ca="1"/>
        <v>#NAME?</v>
      </c>
      <c r="M198" s="28" t="e">
        <f ca="1"/>
        <v>#NAME?</v>
      </c>
      <c r="N198" t="e">
        <f ca="1"/>
        <v>#NAME?</v>
      </c>
      <c r="O198" t="e">
        <f ca="1"/>
        <v>#NAME?</v>
      </c>
      <c r="P198" t="str">
        <f ca="1"/>
        <v/>
      </c>
      <c r="Q198" t="str">
        <f ca="1"/>
        <v/>
      </c>
      <c r="R198">
        <f ca="1"/>
        <v>12</v>
      </c>
      <c r="S198" t="str">
        <f ca="1"/>
        <v>ZZZZZ</v>
      </c>
      <c r="T198" t="str">
        <f ca="1"/>
        <v>ZZZZZ</v>
      </c>
      <c r="U198" t="e">
        <f ca="1"/>
        <v>#NAME?</v>
      </c>
      <c r="V198" t="e">
        <f ca="1"/>
        <v>#NAME?</v>
      </c>
      <c r="W198" t="e">
        <f ca="1"/>
        <v>#NAME?</v>
      </c>
      <c r="X198" t="e">
        <f ca="1"/>
        <v>#NAME?</v>
      </c>
      <c r="Y198" t="e" cm="1">
        <f t="array" aca="1" ref="Y198" ca="1">IF(W198&lt;&gt;"", SUMPRODUCT( (input!H:H=tipos_eqs!W198)*1 ), "")</f>
        <v>#NAME?</v>
      </c>
      <c r="Z198" t="e">
        <f ca="1"/>
        <v>#NAME?</v>
      </c>
      <c r="AC198" t="str">
        <f t="shared" ca="1" si="14"/>
        <v/>
      </c>
      <c r="AD198" t="e">
        <f t="shared" ca="1" si="12"/>
        <v>#NAME?</v>
      </c>
      <c r="AE198" t="e">
        <f t="shared" ca="1" si="13"/>
        <v>#NAME?</v>
      </c>
    </row>
    <row r="199" spans="1:31" x14ac:dyDescent="0.3">
      <c r="A199" s="26">
        <f ca="1"/>
        <v>197</v>
      </c>
      <c r="B199" s="28"/>
      <c r="C199" s="28"/>
      <c r="D199" s="31" t="str">
        <f ca="1"/>
        <v>1100</v>
      </c>
      <c r="F199">
        <f ca="1"/>
        <v>0</v>
      </c>
      <c r="G199">
        <f ca="1"/>
        <v>0</v>
      </c>
      <c r="H199" s="28" t="str">
        <f ca="1"/>
        <v>ZZZZZ@@@@@@@@@@@@@@@@@@@@@@@@@@@197</v>
      </c>
      <c r="I199" s="28" t="str">
        <f ca="1"/>
        <v>ZZZZZ@@@197</v>
      </c>
      <c r="J199" s="28" t="e">
        <f ca="1"/>
        <v>#NAME?</v>
      </c>
      <c r="K199" s="28" t="e">
        <f ca="1"/>
        <v>#NAME?</v>
      </c>
      <c r="L199" s="28" t="e">
        <f ca="1"/>
        <v>#NAME?</v>
      </c>
      <c r="M199" s="28" t="e">
        <f ca="1"/>
        <v>#NAME?</v>
      </c>
      <c r="N199" t="e">
        <f ca="1"/>
        <v>#NAME?</v>
      </c>
      <c r="O199" t="e">
        <f ca="1"/>
        <v>#NAME?</v>
      </c>
      <c r="P199" t="str">
        <f ca="1"/>
        <v/>
      </c>
      <c r="Q199" t="str">
        <f ca="1"/>
        <v/>
      </c>
      <c r="R199">
        <f ca="1"/>
        <v>12</v>
      </c>
      <c r="S199" t="str">
        <f ca="1"/>
        <v>ZZZZZ</v>
      </c>
      <c r="T199" t="str">
        <f ca="1"/>
        <v>ZZZZZ</v>
      </c>
      <c r="U199" t="e">
        <f ca="1"/>
        <v>#NAME?</v>
      </c>
      <c r="V199" t="e">
        <f ca="1"/>
        <v>#NAME?</v>
      </c>
      <c r="W199" t="e">
        <f ca="1"/>
        <v>#NAME?</v>
      </c>
      <c r="X199" t="e">
        <f ca="1"/>
        <v>#NAME?</v>
      </c>
      <c r="Y199" t="e" cm="1">
        <f t="array" aca="1" ref="Y199" ca="1">IF(W199&lt;&gt;"", SUMPRODUCT( (input!H:H=tipos_eqs!W199)*1 ), "")</f>
        <v>#NAME?</v>
      </c>
      <c r="Z199" t="e">
        <f ca="1"/>
        <v>#NAME?</v>
      </c>
      <c r="AC199" t="str">
        <f t="shared" ca="1" si="14"/>
        <v/>
      </c>
      <c r="AD199" t="e">
        <f t="shared" ca="1" si="12"/>
        <v>#NAME?</v>
      </c>
      <c r="AE199" t="e">
        <f t="shared" ca="1" si="13"/>
        <v>#NAME?</v>
      </c>
    </row>
    <row r="200" spans="1:31" x14ac:dyDescent="0.3">
      <c r="A200" s="26">
        <f ca="1"/>
        <v>198</v>
      </c>
      <c r="B200" s="28"/>
      <c r="C200" s="28"/>
      <c r="D200" s="31" t="str">
        <f ca="1"/>
        <v>1100</v>
      </c>
      <c r="F200">
        <f ca="1"/>
        <v>0</v>
      </c>
      <c r="G200">
        <f ca="1"/>
        <v>0</v>
      </c>
      <c r="H200" s="28" t="str">
        <f ca="1"/>
        <v>ZZZZZ@@@@@@@@@@@@@@@@@@@@@@@@@@@198</v>
      </c>
      <c r="I200" s="28" t="str">
        <f ca="1"/>
        <v>ZZZZZ@@@198</v>
      </c>
      <c r="J200" s="28" t="e">
        <f ca="1"/>
        <v>#NAME?</v>
      </c>
      <c r="K200" s="28" t="e">
        <f ca="1"/>
        <v>#NAME?</v>
      </c>
      <c r="L200" s="28" t="e">
        <f ca="1"/>
        <v>#NAME?</v>
      </c>
      <c r="M200" s="28" t="e">
        <f ca="1"/>
        <v>#NAME?</v>
      </c>
      <c r="N200" t="e">
        <f ca="1"/>
        <v>#NAME?</v>
      </c>
      <c r="O200" t="e">
        <f ca="1"/>
        <v>#NAME?</v>
      </c>
      <c r="P200" t="str">
        <f ca="1"/>
        <v/>
      </c>
      <c r="Q200" t="str">
        <f ca="1"/>
        <v/>
      </c>
      <c r="R200">
        <f ca="1"/>
        <v>12</v>
      </c>
      <c r="S200" t="str">
        <f ca="1"/>
        <v>ZZZZZ</v>
      </c>
      <c r="T200" t="str">
        <f ca="1"/>
        <v>ZZZZZ</v>
      </c>
      <c r="U200" t="e">
        <f ca="1"/>
        <v>#NAME?</v>
      </c>
      <c r="V200" t="e">
        <f ca="1"/>
        <v>#NAME?</v>
      </c>
      <c r="W200" t="e">
        <f ca="1"/>
        <v>#NAME?</v>
      </c>
      <c r="X200" t="e">
        <f ca="1"/>
        <v>#NAME?</v>
      </c>
      <c r="Y200" t="e" cm="1">
        <f t="array" aca="1" ref="Y200" ca="1">IF(W200&lt;&gt;"", SUMPRODUCT( (input!H:H=tipos_eqs!W200)*1 ), "")</f>
        <v>#NAME?</v>
      </c>
      <c r="Z200" t="e">
        <f ca="1"/>
        <v>#NAME?</v>
      </c>
      <c r="AC200" t="str">
        <f t="shared" ca="1" si="14"/>
        <v/>
      </c>
      <c r="AD200" t="e">
        <f t="shared" ca="1" si="12"/>
        <v>#NAME?</v>
      </c>
      <c r="AE200" t="e">
        <f t="shared" ca="1" si="13"/>
        <v>#NAME?</v>
      </c>
    </row>
    <row r="201" spans="1:31" x14ac:dyDescent="0.3">
      <c r="A201" s="26">
        <f ca="1"/>
        <v>199</v>
      </c>
      <c r="D201" s="31" t="str">
        <f ca="1"/>
        <v>1100</v>
      </c>
      <c r="F201">
        <f ca="1"/>
        <v>0</v>
      </c>
      <c r="G201">
        <f ca="1"/>
        <v>0</v>
      </c>
      <c r="H201" s="28" t="str">
        <f ca="1"/>
        <v>ZZZZZ@@@@@@@@@@@@@@@@@@@@@@@@@@@199</v>
      </c>
      <c r="I201" s="28" t="str">
        <f ca="1"/>
        <v>ZZZZZ@@@199</v>
      </c>
      <c r="J201" s="28" t="e">
        <f ca="1"/>
        <v>#NAME?</v>
      </c>
      <c r="K201" s="28" t="e">
        <f ca="1"/>
        <v>#NAME?</v>
      </c>
      <c r="L201" s="28" t="e">
        <f ca="1"/>
        <v>#NAME?</v>
      </c>
      <c r="M201" s="28" t="e">
        <f ca="1"/>
        <v>#NAME?</v>
      </c>
      <c r="N201" t="e">
        <f ca="1"/>
        <v>#NAME?</v>
      </c>
      <c r="O201" t="e">
        <f ca="1"/>
        <v>#NAME?</v>
      </c>
      <c r="P201" t="str">
        <f ca="1"/>
        <v/>
      </c>
      <c r="Q201" t="str">
        <f ca="1"/>
        <v/>
      </c>
      <c r="R201">
        <f ca="1"/>
        <v>12</v>
      </c>
      <c r="S201" t="str">
        <f ca="1"/>
        <v>ZZZZZ</v>
      </c>
      <c r="T201" t="str">
        <f ca="1"/>
        <v>ZZZZZ</v>
      </c>
      <c r="U201" t="e">
        <f ca="1"/>
        <v>#NAME?</v>
      </c>
      <c r="V201" t="e">
        <f ca="1"/>
        <v>#NAME?</v>
      </c>
      <c r="W201" t="e">
        <f ca="1"/>
        <v>#NAME?</v>
      </c>
      <c r="X201" t="e">
        <f ca="1"/>
        <v>#NAME?</v>
      </c>
      <c r="Y201" t="e" cm="1">
        <f t="array" aca="1" ref="Y201" ca="1">IF(W201&lt;&gt;"", SUMPRODUCT( (input!H:H=tipos_eqs!W201)*1 ), "")</f>
        <v>#NAME?</v>
      </c>
      <c r="Z201" t="e">
        <f ca="1"/>
        <v>#NAME?</v>
      </c>
      <c r="AC201" t="str">
        <f t="shared" ca="1" si="14"/>
        <v/>
      </c>
      <c r="AD201" t="e">
        <f t="shared" ca="1" si="12"/>
        <v>#NAME?</v>
      </c>
      <c r="AE201" t="e">
        <f t="shared" ca="1" si="13"/>
        <v>#NAME?</v>
      </c>
    </row>
    <row r="202" spans="1:31" x14ac:dyDescent="0.3">
      <c r="A202" s="26">
        <f ca="1"/>
        <v>200</v>
      </c>
      <c r="D202" s="31" t="str">
        <f ca="1"/>
        <v>1100</v>
      </c>
      <c r="F202">
        <f ca="1"/>
        <v>0</v>
      </c>
      <c r="G202">
        <f ca="1"/>
        <v>0</v>
      </c>
      <c r="H202" s="28" t="str">
        <f ca="1"/>
        <v>ZZZZZ@@@@@@@@@@@@@@@@@@@@@@@@@@@200</v>
      </c>
      <c r="I202" s="28" t="str">
        <f ca="1"/>
        <v>ZZZZZ@@@200</v>
      </c>
      <c r="J202" s="28" t="e">
        <f ca="1"/>
        <v>#NAME?</v>
      </c>
      <c r="K202" s="28" t="e">
        <f ca="1"/>
        <v>#NAME?</v>
      </c>
      <c r="L202" s="28" t="e">
        <f ca="1"/>
        <v>#NAME?</v>
      </c>
      <c r="M202" s="28" t="e">
        <f ca="1"/>
        <v>#NAME?</v>
      </c>
      <c r="N202" t="e">
        <f ca="1"/>
        <v>#NAME?</v>
      </c>
      <c r="O202" t="e">
        <f ca="1"/>
        <v>#NAME?</v>
      </c>
      <c r="P202" t="str">
        <f ca="1"/>
        <v/>
      </c>
      <c r="Q202" t="str">
        <f ca="1"/>
        <v/>
      </c>
      <c r="R202">
        <f ca="1"/>
        <v>12</v>
      </c>
      <c r="S202" t="str">
        <f ca="1"/>
        <v>ZZZZZ</v>
      </c>
      <c r="T202" t="str">
        <f ca="1"/>
        <v>ZZZZZ</v>
      </c>
      <c r="U202" t="e">
        <f ca="1"/>
        <v>#NAME?</v>
      </c>
      <c r="V202" t="e">
        <f ca="1"/>
        <v>#NAME?</v>
      </c>
      <c r="W202" t="e">
        <f ca="1"/>
        <v>#NAME?</v>
      </c>
      <c r="X202" t="e">
        <f ca="1"/>
        <v>#NAME?</v>
      </c>
      <c r="Y202" t="e" cm="1">
        <f t="array" aca="1" ref="Y202" ca="1">IF(W202&lt;&gt;"", SUMPRODUCT( (input!H:H=tipos_eqs!W202)*1 ), "")</f>
        <v>#NAME?</v>
      </c>
      <c r="Z202" t="e">
        <f ca="1"/>
        <v>#NAME?</v>
      </c>
      <c r="AC202" t="str">
        <f t="shared" ca="1" si="14"/>
        <v/>
      </c>
      <c r="AD202" t="e">
        <f t="shared" ca="1" si="12"/>
        <v>#NAME?</v>
      </c>
      <c r="AE202" t="e">
        <f t="shared" ca="1" si="13"/>
        <v>#NAME?</v>
      </c>
    </row>
    <row r="203" spans="1:31" x14ac:dyDescent="0.3">
      <c r="N203" t="e">
        <f ca="1"/>
        <v>#NAME?</v>
      </c>
      <c r="O203" t="e">
        <f ca="1"/>
        <v>#NAME?</v>
      </c>
      <c r="Y203" t="str" cm="1">
        <f t="array" ref="Y203">IF(W203&lt;&gt;"", SUMPRODUCT( (input!H:H=tipos_eqs!W203)*1 ), "")</f>
        <v/>
      </c>
      <c r="AC203" t="str">
        <f t="shared" ca="1" si="14"/>
        <v/>
      </c>
      <c r="AD203" t="e">
        <f t="shared" ca="1" si="12"/>
        <v>#NAME?</v>
      </c>
      <c r="AE203" t="e">
        <f t="shared" ca="1" si="13"/>
        <v>#NAME?</v>
      </c>
    </row>
  </sheetData>
  <mergeCells count="10">
    <mergeCell ref="AS2:AT2"/>
    <mergeCell ref="AG2:AH2"/>
    <mergeCell ref="AI2:AJ2"/>
    <mergeCell ref="AK2:AL2"/>
    <mergeCell ref="AM2:AN2"/>
    <mergeCell ref="A1:C1"/>
    <mergeCell ref="S2:T2"/>
    <mergeCell ref="U2:V2"/>
    <mergeCell ref="W2:X2"/>
    <mergeCell ref="AA2:AB2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26"/>
  <sheetViews>
    <sheetView workbookViewId="0">
      <selection activeCell="R20" sqref="R20"/>
    </sheetView>
  </sheetViews>
  <sheetFormatPr defaultRowHeight="14.4" x14ac:dyDescent="0.3"/>
  <cols>
    <col min="1" max="1" width="19.6640625" style="23" bestFit="1" customWidth="1"/>
    <col min="2" max="2" width="9.109375" style="10"/>
    <col min="3" max="3" width="14.33203125" style="10" customWidth="1"/>
    <col min="5" max="6" width="10" customWidth="1"/>
    <col min="9" max="10" width="14.33203125" customWidth="1"/>
    <col min="11" max="11" width="10.109375" customWidth="1"/>
    <col min="14" max="14" width="15" bestFit="1" customWidth="1"/>
    <col min="15" max="15" width="17" customWidth="1"/>
    <col min="16" max="16" width="4.44140625" bestFit="1" customWidth="1"/>
  </cols>
  <sheetData>
    <row r="1" spans="1:16" x14ac:dyDescent="0.3">
      <c r="A1" s="91" t="s">
        <v>2528</v>
      </c>
      <c r="B1" s="91"/>
      <c r="C1" s="91"/>
      <c r="D1" s="21" cm="1">
        <f t="array" ref="D1">SUMPRODUCT( 1*(input!$I:$I&lt;&gt;"") ) - 1</f>
        <v>471</v>
      </c>
    </row>
    <row r="2" spans="1:16" x14ac:dyDescent="0.3">
      <c r="A2" s="91" t="s">
        <v>2529</v>
      </c>
      <c r="B2" s="91"/>
      <c r="C2" s="91"/>
      <c r="D2" s="91"/>
      <c r="E2" s="91"/>
      <c r="F2" s="91"/>
      <c r="H2" t="s">
        <v>2530</v>
      </c>
      <c r="O2" t="s">
        <v>2531</v>
      </c>
      <c r="P2" t="s">
        <v>2531</v>
      </c>
    </row>
    <row r="3" spans="1:16" x14ac:dyDescent="0.3">
      <c r="A3" s="10" t="s">
        <v>2410</v>
      </c>
      <c r="B3" s="10" t="s">
        <v>2412</v>
      </c>
      <c r="C3" s="10" t="s">
        <v>2532</v>
      </c>
      <c r="D3" s="10" t="s">
        <v>2533</v>
      </c>
      <c r="E3" s="10" t="s">
        <v>2534</v>
      </c>
      <c r="F3" s="10" t="s">
        <v>2535</v>
      </c>
      <c r="H3" s="10" t="s">
        <v>2410</v>
      </c>
      <c r="I3" s="10" t="s">
        <v>2536</v>
      </c>
      <c r="J3" s="10" t="s">
        <v>2537</v>
      </c>
      <c r="K3" s="10" t="s">
        <v>2537</v>
      </c>
      <c r="L3" s="10" t="s">
        <v>2535</v>
      </c>
      <c r="N3" t="e" cm="1">
        <f t="array" aca="1" ref="N3:N23" ca="1">_xlfn.UNIQUE(OFFSET(input!O1,1,,COUNTA(input!A2:A9998),))</f>
        <v>#NAME?</v>
      </c>
      <c r="O3" t="e">
        <f t="shared" ref="O3:O16" ca="1" si="0">IF(N3&lt;&gt;0,N3,"")</f>
        <v>#NAME?</v>
      </c>
      <c r="P3">
        <f ca="1">COUNTIF(input!O:O,O3)</f>
        <v>0</v>
      </c>
    </row>
    <row r="4" spans="1:16" x14ac:dyDescent="0.3">
      <c r="A4" s="10">
        <v>0</v>
      </c>
      <c r="C4" s="10" t="s">
        <v>2538</v>
      </c>
      <c r="D4" s="10"/>
      <c r="E4" s="21" cm="1">
        <f t="array" ref="E4">SUMPRODUCT( (input!$K:$K&lt;&gt;"") * (1 - ISNUMBER(input!$L:$L)) )</f>
        <v>12</v>
      </c>
      <c r="F4" s="22">
        <f>E4/$D$1</f>
        <v>2.5477707006369428E-2</v>
      </c>
      <c r="H4" s="10">
        <v>0</v>
      </c>
      <c r="I4" s="10" t="str">
        <f>C4</f>
        <v>Inválido</v>
      </c>
      <c r="J4" s="10" t="s">
        <v>2539</v>
      </c>
      <c r="K4" s="59">
        <f>COUNTA(input!A2:A998)-SUM(K5:K50)</f>
        <v>0</v>
      </c>
      <c r="L4" s="10"/>
      <c r="N4" t="e">
        <f ca="1"/>
        <v>#NAME?</v>
      </c>
      <c r="O4" t="e">
        <f t="shared" ca="1" si="0"/>
        <v>#NAME?</v>
      </c>
      <c r="P4">
        <f ca="1">COUNTIF(input!O:O,O4)</f>
        <v>0</v>
      </c>
    </row>
    <row r="5" spans="1:16" x14ac:dyDescent="0.3">
      <c r="A5" s="10">
        <f>A4+1</f>
        <v>1</v>
      </c>
      <c r="C5" s="10" t="s">
        <v>2540</v>
      </c>
      <c r="D5" s="10"/>
      <c r="E5" s="21" cm="1">
        <f t="array" ref="E5">SUMPRODUCT( (input!$K:$K="") * (ISNUMBER(input!$L:$L)) )</f>
        <v>0</v>
      </c>
      <c r="F5" s="22">
        <f t="shared" ref="F5:F16" si="1">E5/$D$1</f>
        <v>0</v>
      </c>
      <c r="H5" s="10">
        <f>H4+1</f>
        <v>1</v>
      </c>
      <c r="I5" s="10" t="str">
        <f>C5</f>
        <v>Desconhecido</v>
      </c>
      <c r="J5" s="10" t="str">
        <f>I5</f>
        <v>Desconhecido</v>
      </c>
      <c r="K5" s="59" cm="1">
        <f t="array" ref="K5">SUMPRODUCT( (input!$I:$I&lt;&gt;"") * (input!$B:$B=I5)  )</f>
        <v>0</v>
      </c>
      <c r="L5" s="10"/>
      <c r="N5" t="e">
        <f ca="1"/>
        <v>#NAME?</v>
      </c>
      <c r="O5" t="e">
        <f t="shared" ca="1" si="0"/>
        <v>#NAME?</v>
      </c>
      <c r="P5">
        <f ca="1">COUNTIF(input!O:O,O5)</f>
        <v>0</v>
      </c>
    </row>
    <row r="6" spans="1:16" x14ac:dyDescent="0.3">
      <c r="A6" s="10">
        <f t="shared" ref="A6:A11" si="2">A5+1</f>
        <v>2</v>
      </c>
      <c r="C6" s="2" t="s">
        <v>1213</v>
      </c>
      <c r="D6" s="10"/>
      <c r="E6" s="21" cm="1">
        <f t="array" ref="E6">SUMPRODUCT( (input!$I:$I&lt;&gt;"") * (input!$K:$K="") * (input!$L:$L="") )</f>
        <v>412</v>
      </c>
      <c r="F6" s="22">
        <f t="shared" si="1"/>
        <v>0.87473460721868368</v>
      </c>
      <c r="H6" s="10">
        <f t="shared" ref="H6:H12" si="3">H5+1</f>
        <v>2</v>
      </c>
      <c r="I6" s="2" t="s">
        <v>1213</v>
      </c>
      <c r="J6" s="10" t="str">
        <f>I6</f>
        <v>Em branco</v>
      </c>
      <c r="K6" s="59" cm="1">
        <f t="array" ref="K6">SUMPRODUCT( (input!$I:$I&lt;&gt;"") * (input!$B:$B="")  )</f>
        <v>0</v>
      </c>
      <c r="L6" s="10"/>
      <c r="N6" t="e">
        <f ca="1"/>
        <v>#NAME?</v>
      </c>
      <c r="O6" t="e">
        <f t="shared" ca="1" si="0"/>
        <v>#NAME?</v>
      </c>
      <c r="P6">
        <f ca="1">COUNTIF(input!O:O,O6)</f>
        <v>0</v>
      </c>
    </row>
    <row r="7" spans="1:16" ht="28.8" x14ac:dyDescent="0.3">
      <c r="A7" s="10">
        <f t="shared" si="2"/>
        <v>3</v>
      </c>
      <c r="C7" s="2" t="s">
        <v>2541</v>
      </c>
      <c r="D7" s="10"/>
      <c r="E7" s="21" cm="1">
        <f t="array" ref="E7">SUMPRODUCT( (input!$I:$I&lt;&gt;"") * (input!$K:$K=C7) )</f>
        <v>0</v>
      </c>
      <c r="F7" s="22">
        <f t="shared" si="1"/>
        <v>0</v>
      </c>
      <c r="H7" s="10">
        <f t="shared" si="3"/>
        <v>3</v>
      </c>
      <c r="I7" s="2" t="s">
        <v>2542</v>
      </c>
      <c r="J7" s="10" t="str">
        <f>I7</f>
        <v>Preenchido "sem prédio"</v>
      </c>
      <c r="K7" s="59" cm="1">
        <f t="array" ref="K7">SUMPRODUCT( (input!$I:$I&lt;&gt;"") * (input!$B:$B=I7)  )</f>
        <v>0</v>
      </c>
      <c r="L7" s="10"/>
      <c r="N7" t="e">
        <f ca="1"/>
        <v>#NAME?</v>
      </c>
      <c r="O7" t="e">
        <f t="shared" ca="1" si="0"/>
        <v>#NAME?</v>
      </c>
      <c r="P7">
        <f ca="1">COUNTIF(input!O:O,O7)</f>
        <v>0</v>
      </c>
    </row>
    <row r="8" spans="1:16" x14ac:dyDescent="0.3">
      <c r="A8" s="10">
        <f t="shared" si="2"/>
        <v>4</v>
      </c>
      <c r="B8" s="10" t="s">
        <v>1285</v>
      </c>
      <c r="C8" s="10" t="s">
        <v>2543</v>
      </c>
      <c r="D8" s="10" t="s">
        <v>2544</v>
      </c>
      <c r="E8" s="21" cm="1">
        <f t="array" ref="E8">SUMPRODUCT( (input!$I:$I&lt;&gt;"") * (input!$K:$K=B8) * ISNUMBER(input!$L:$L) )</f>
        <v>47</v>
      </c>
      <c r="F8" s="22">
        <f>E8/$D$1</f>
        <v>9.9787685774946927E-2</v>
      </c>
      <c r="H8" s="10">
        <f t="shared" si="3"/>
        <v>4</v>
      </c>
      <c r="I8" s="10">
        <v>2</v>
      </c>
      <c r="J8" s="10" t="str">
        <f t="shared" ref="J8:J14" si="4">"Prédio "&amp;I8</f>
        <v>Prédio 2</v>
      </c>
      <c r="K8" s="59" cm="1">
        <f t="array" ref="K8">SUMPRODUCT( (input!$B:$B&lt;&gt;"") * (input!$B:$B=I8)  )</f>
        <v>104</v>
      </c>
      <c r="L8" s="10"/>
      <c r="N8" t="e">
        <f ca="1"/>
        <v>#NAME?</v>
      </c>
      <c r="O8" t="e">
        <f t="shared" ca="1" si="0"/>
        <v>#NAME?</v>
      </c>
      <c r="P8">
        <f ca="1">COUNTIF(input!O:O,O8)</f>
        <v>0</v>
      </c>
    </row>
    <row r="9" spans="1:16" x14ac:dyDescent="0.3">
      <c r="A9" s="10">
        <f t="shared" si="2"/>
        <v>5</v>
      </c>
      <c r="B9" s="10" t="s">
        <v>2545</v>
      </c>
      <c r="C9" s="10" t="s">
        <v>2546</v>
      </c>
      <c r="D9" s="10" t="s">
        <v>2547</v>
      </c>
      <c r="E9" s="19" cm="1">
        <f t="array" ref="E9">SUMPRODUCT( (input!$I:$I&lt;&gt;"") * (input!$K:$K=B9) * ISNUMBER(input!$L:$L) )</f>
        <v>0</v>
      </c>
      <c r="F9" s="22">
        <f t="shared" si="1"/>
        <v>0</v>
      </c>
      <c r="H9" s="10">
        <f t="shared" si="3"/>
        <v>5</v>
      </c>
      <c r="I9" s="10">
        <v>3</v>
      </c>
      <c r="J9" s="10" t="str">
        <f t="shared" si="4"/>
        <v>Prédio 3</v>
      </c>
      <c r="K9" s="59" cm="1">
        <f t="array" ref="K9">SUMPRODUCT( (input!$B:$B&lt;&gt;"") * (input!$B:$B=I9)  )</f>
        <v>93</v>
      </c>
      <c r="L9" s="10"/>
      <c r="N9" t="e">
        <f ca="1"/>
        <v>#NAME?</v>
      </c>
      <c r="O9" t="e">
        <f t="shared" ca="1" si="0"/>
        <v>#NAME?</v>
      </c>
      <c r="P9">
        <f ca="1">COUNTIF(input!O:O,O9)</f>
        <v>0</v>
      </c>
    </row>
    <row r="10" spans="1:16" x14ac:dyDescent="0.3">
      <c r="A10" s="10">
        <f t="shared" si="2"/>
        <v>6</v>
      </c>
      <c r="B10" s="10" t="s">
        <v>2548</v>
      </c>
      <c r="C10" s="10" t="s">
        <v>2549</v>
      </c>
      <c r="D10" s="10" t="s">
        <v>2550</v>
      </c>
      <c r="E10" s="19" cm="1">
        <f t="array" ref="E10">SUMPRODUCT( (input!$I:$I&lt;&gt;"") * (input!$K:$K=B10) * ISNUMBER(input!$L:$L) )</f>
        <v>0</v>
      </c>
      <c r="F10" s="22">
        <f t="shared" si="1"/>
        <v>0</v>
      </c>
      <c r="H10" s="10">
        <f t="shared" si="3"/>
        <v>6</v>
      </c>
      <c r="I10" s="10">
        <v>4</v>
      </c>
      <c r="J10" s="10" t="str">
        <f t="shared" si="4"/>
        <v>Prédio 4</v>
      </c>
      <c r="K10" s="59" cm="1">
        <f t="array" ref="K10">SUMPRODUCT( (input!$B:$B&lt;&gt;"") * (input!$B:$B=I10)  )</f>
        <v>117</v>
      </c>
      <c r="L10" s="10"/>
      <c r="N10" t="e">
        <f ca="1"/>
        <v>#NAME?</v>
      </c>
      <c r="O10" t="e">
        <f t="shared" ca="1" si="0"/>
        <v>#NAME?</v>
      </c>
      <c r="P10">
        <f ca="1">COUNTIF(input!O:O,O10)</f>
        <v>0</v>
      </c>
    </row>
    <row r="11" spans="1:16" x14ac:dyDescent="0.3">
      <c r="A11" s="10">
        <f t="shared" si="2"/>
        <v>7</v>
      </c>
      <c r="B11" s="10" t="s">
        <v>2551</v>
      </c>
      <c r="C11" s="10" t="s">
        <v>2552</v>
      </c>
      <c r="D11" s="10" t="s">
        <v>2553</v>
      </c>
      <c r="E11" s="19" cm="1">
        <f t="array" ref="E11">SUMPRODUCT( (input!$I:$I&lt;&gt;"") * (input!$K:$K=B11) * ISNUMBER(input!$L:$L) )</f>
        <v>0</v>
      </c>
      <c r="F11" s="22">
        <f t="shared" si="1"/>
        <v>0</v>
      </c>
      <c r="H11" s="10">
        <f t="shared" si="3"/>
        <v>7</v>
      </c>
      <c r="I11" s="10">
        <v>5</v>
      </c>
      <c r="J11" s="10" t="str">
        <f t="shared" si="4"/>
        <v>Prédio 5</v>
      </c>
      <c r="K11" s="59" cm="1">
        <f t="array" ref="K11">SUMPRODUCT( (input!$B:$B&lt;&gt;"") * (input!$B:$B=I11)  )</f>
        <v>14</v>
      </c>
      <c r="L11" s="10"/>
      <c r="N11" t="e">
        <f ca="1"/>
        <v>#NAME?</v>
      </c>
      <c r="O11" t="e">
        <f t="shared" ca="1" si="0"/>
        <v>#NAME?</v>
      </c>
      <c r="P11">
        <f ca="1">COUNTIF(input!O:O,O11)</f>
        <v>0</v>
      </c>
    </row>
    <row r="12" spans="1:16" x14ac:dyDescent="0.3">
      <c r="A12" s="23">
        <v>8</v>
      </c>
      <c r="B12" s="10" t="s">
        <v>2554</v>
      </c>
      <c r="C12" s="10" t="s">
        <v>2555</v>
      </c>
      <c r="D12" s="10" t="s">
        <v>2554</v>
      </c>
      <c r="E12" s="19" cm="1">
        <f t="array" ref="E12">SUMPRODUCT( (input!$I:$I&lt;&gt;"") * (input!$K:$K=B12) * ISNUMBER(input!$L:$L) )</f>
        <v>0</v>
      </c>
      <c r="F12" s="22">
        <f t="shared" si="1"/>
        <v>0</v>
      </c>
      <c r="H12" s="10">
        <f t="shared" si="3"/>
        <v>8</v>
      </c>
      <c r="I12" s="10">
        <v>10</v>
      </c>
      <c r="J12" s="10" t="str">
        <f t="shared" si="4"/>
        <v>Prédio 10</v>
      </c>
      <c r="K12" s="59" cm="1">
        <f t="array" ref="K12">SUMPRODUCT( (input!$B:$B&lt;&gt;"") * (input!$B:$B=I12)  )</f>
        <v>135</v>
      </c>
      <c r="L12" s="10"/>
      <c r="N12" t="e">
        <f ca="1"/>
        <v>#NAME?</v>
      </c>
      <c r="O12" t="e">
        <f t="shared" ca="1" si="0"/>
        <v>#NAME?</v>
      </c>
      <c r="P12">
        <f ca="1">COUNTIF(input!O:O,O12)</f>
        <v>0</v>
      </c>
    </row>
    <row r="13" spans="1:16" x14ac:dyDescent="0.3">
      <c r="A13" s="23">
        <v>9</v>
      </c>
      <c r="B13" s="10" t="s">
        <v>2556</v>
      </c>
      <c r="C13" s="10" t="s">
        <v>2557</v>
      </c>
      <c r="D13" s="10" t="s">
        <v>2556</v>
      </c>
      <c r="E13" s="19" cm="1">
        <f t="array" ref="E13">SUMPRODUCT( (input!$I:$I&lt;&gt;"") * (input!$K:$K=B13) * ISNUMBER(input!$L:$L) )</f>
        <v>0</v>
      </c>
      <c r="F13" s="22">
        <f t="shared" si="1"/>
        <v>0</v>
      </c>
      <c r="H13" s="10">
        <v>9</v>
      </c>
      <c r="I13" s="10">
        <v>21</v>
      </c>
      <c r="J13" s="10" t="str">
        <f t="shared" si="4"/>
        <v>Prédio 21</v>
      </c>
      <c r="K13" s="59" cm="1">
        <f t="array" ref="K13">SUMPRODUCT( (input!$B:$B&lt;&gt;"") * (input!$B:$B=I13)  )</f>
        <v>7</v>
      </c>
      <c r="N13" t="e">
        <f ca="1"/>
        <v>#NAME?</v>
      </c>
      <c r="O13" t="e">
        <f t="shared" ca="1" si="0"/>
        <v>#NAME?</v>
      </c>
      <c r="P13">
        <f ca="1">COUNTIF(input!O:O,O13)</f>
        <v>0</v>
      </c>
    </row>
    <row r="14" spans="1:16" x14ac:dyDescent="0.3">
      <c r="A14" s="23">
        <v>10</v>
      </c>
      <c r="B14" s="10" t="s">
        <v>2558</v>
      </c>
      <c r="C14" s="10" t="s">
        <v>2559</v>
      </c>
      <c r="D14" s="10" t="s">
        <v>2558</v>
      </c>
      <c r="E14" s="19" cm="1">
        <f t="array" ref="E14">SUMPRODUCT( (input!$I:$I&lt;&gt;"") * (input!$K:$K=B14) * ISNUMBER(input!$L:$L) )</f>
        <v>0</v>
      </c>
      <c r="F14" s="22">
        <f t="shared" si="1"/>
        <v>0</v>
      </c>
      <c r="H14" s="10">
        <v>10</v>
      </c>
      <c r="I14" s="10">
        <v>47</v>
      </c>
      <c r="J14" s="10" t="str">
        <f t="shared" si="4"/>
        <v>Prédio 47</v>
      </c>
      <c r="K14" s="59" cm="1">
        <f t="array" ref="K14">SUMPRODUCT( (input!$B:$B&lt;&gt;"") * (input!$B:$B=I14)  )</f>
        <v>1</v>
      </c>
      <c r="N14" t="e">
        <f ca="1"/>
        <v>#NAME?</v>
      </c>
      <c r="O14" t="e">
        <f t="shared" ca="1" si="0"/>
        <v>#NAME?</v>
      </c>
      <c r="P14">
        <f ca="1">COUNTIF(input!O:O,O14)</f>
        <v>0</v>
      </c>
    </row>
    <row r="15" spans="1:16" x14ac:dyDescent="0.3">
      <c r="A15" s="23">
        <v>11</v>
      </c>
      <c r="B15" s="10" t="s">
        <v>2560</v>
      </c>
      <c r="C15" s="10" t="s">
        <v>2561</v>
      </c>
      <c r="D15" s="10" t="s">
        <v>2560</v>
      </c>
      <c r="E15" s="19" cm="1">
        <f t="array" ref="E15">SUMPRODUCT( (input!$I:$I&lt;&gt;"") * (input!$K:$K=B15) * ISNUMBER(input!$L:$L) )</f>
        <v>0</v>
      </c>
      <c r="F15" s="22">
        <f t="shared" si="1"/>
        <v>0</v>
      </c>
      <c r="I15" s="10"/>
      <c r="J15" s="10"/>
      <c r="K15" s="59"/>
      <c r="N15" t="e">
        <f ca="1"/>
        <v>#NAME?</v>
      </c>
      <c r="O15" t="e">
        <f t="shared" ca="1" si="0"/>
        <v>#NAME?</v>
      </c>
      <c r="P15">
        <f ca="1">COUNTIF(input!O:O,O15)</f>
        <v>0</v>
      </c>
    </row>
    <row r="16" spans="1:16" x14ac:dyDescent="0.3">
      <c r="A16" s="23">
        <v>12</v>
      </c>
      <c r="B16" s="10" t="s">
        <v>2562</v>
      </c>
      <c r="C16" s="10" t="s">
        <v>2563</v>
      </c>
      <c r="D16" s="10" t="s">
        <v>2562</v>
      </c>
      <c r="E16" s="19" cm="1">
        <f t="array" ref="E16">SUMPRODUCT( (input!$I:$I&lt;&gt;"") * (input!$K:$K=B16) * ISNUMBER(input!$L:$L) )</f>
        <v>0</v>
      </c>
      <c r="F16" s="22">
        <f t="shared" si="1"/>
        <v>0</v>
      </c>
      <c r="I16" s="10"/>
      <c r="J16" s="10"/>
      <c r="K16" s="59"/>
      <c r="N16" t="e">
        <f ca="1"/>
        <v>#NAME?</v>
      </c>
      <c r="O16" t="e">
        <f t="shared" ca="1" si="0"/>
        <v>#NAME?</v>
      </c>
      <c r="P16">
        <f ca="1">COUNTIF(input!O:O,O16)</f>
        <v>0</v>
      </c>
    </row>
    <row r="17" spans="1:16" x14ac:dyDescent="0.3">
      <c r="I17" s="10"/>
      <c r="J17" s="10"/>
      <c r="K17" s="59"/>
      <c r="N17" t="e">
        <f ca="1"/>
        <v>#NAME?</v>
      </c>
      <c r="O17" t="e">
        <f ca="1">IF(N17&lt;&gt;0,N17,"Outros")</f>
        <v>#NAME?</v>
      </c>
      <c r="P17">
        <f ca="1">COUNTIF(input!O:O,O17)</f>
        <v>0</v>
      </c>
    </row>
    <row r="18" spans="1:16" x14ac:dyDescent="0.3">
      <c r="I18" s="10"/>
      <c r="J18" s="10"/>
      <c r="K18" s="59"/>
      <c r="N18" t="e">
        <f ca="1"/>
        <v>#NAME?</v>
      </c>
      <c r="O18" t="e">
        <f t="shared" ref="O18:O24" ca="1" si="5">IF(N18&lt;&gt;0,N18,"Outros")</f>
        <v>#NAME?</v>
      </c>
      <c r="P18">
        <f ca="1">COUNTIF(input!O:O,O18)</f>
        <v>0</v>
      </c>
    </row>
    <row r="19" spans="1:16" x14ac:dyDescent="0.3">
      <c r="K19" s="59"/>
      <c r="N19" t="e">
        <f ca="1"/>
        <v>#NAME?</v>
      </c>
      <c r="O19" t="e">
        <f t="shared" ca="1" si="5"/>
        <v>#NAME?</v>
      </c>
      <c r="P19">
        <f ca="1">COUNTIF(input!O:O,O19)</f>
        <v>0</v>
      </c>
    </row>
    <row r="20" spans="1:16" x14ac:dyDescent="0.3">
      <c r="K20" s="59"/>
      <c r="N20" t="e">
        <f ca="1"/>
        <v>#NAME?</v>
      </c>
      <c r="O20" t="e">
        <f t="shared" ca="1" si="5"/>
        <v>#NAME?</v>
      </c>
      <c r="P20">
        <f ca="1">COUNTIF(input!O:O,O20)</f>
        <v>0</v>
      </c>
    </row>
    <row r="21" spans="1:16" x14ac:dyDescent="0.3">
      <c r="K21" s="59"/>
      <c r="N21" t="e">
        <f ca="1"/>
        <v>#NAME?</v>
      </c>
      <c r="O21" t="e">
        <f t="shared" ca="1" si="5"/>
        <v>#NAME?</v>
      </c>
      <c r="P21">
        <f ca="1">COUNTIF(input!O:O,O21)</f>
        <v>0</v>
      </c>
    </row>
    <row r="22" spans="1:16" x14ac:dyDescent="0.3">
      <c r="A22"/>
      <c r="B22" t="s">
        <v>2564</v>
      </c>
      <c r="C22" t="s">
        <v>2535</v>
      </c>
      <c r="K22" s="59"/>
      <c r="N22" t="e">
        <f ca="1"/>
        <v>#NAME?</v>
      </c>
      <c r="O22" t="e">
        <f t="shared" ca="1" si="5"/>
        <v>#NAME?</v>
      </c>
      <c r="P22">
        <f ca="1">COUNTIF(input!O:O,O22)</f>
        <v>0</v>
      </c>
    </row>
    <row r="23" spans="1:16" x14ac:dyDescent="0.3">
      <c r="N23" t="e">
        <f ca="1"/>
        <v>#NAME?</v>
      </c>
      <c r="O23" t="e">
        <f t="shared" ca="1" si="5"/>
        <v>#NAME?</v>
      </c>
      <c r="P23">
        <f ca="1">COUNTIF(input!O:O,O23)</f>
        <v>0</v>
      </c>
    </row>
    <row r="24" spans="1:16" x14ac:dyDescent="0.3">
      <c r="A24" t="s">
        <v>2565</v>
      </c>
      <c r="B24">
        <f>COUNTIF(input!AI23:AI1035,"&gt;44800")</f>
        <v>346</v>
      </c>
      <c r="C24" s="36">
        <f>B24/$B$26</f>
        <v>0.76888888888888884</v>
      </c>
      <c r="O24" t="str">
        <f t="shared" si="5"/>
        <v>Outros</v>
      </c>
      <c r="P24">
        <f>COUNTIF(input!O:O,O24)</f>
        <v>0</v>
      </c>
    </row>
    <row r="25" spans="1:16" x14ac:dyDescent="0.3">
      <c r="A25" s="23" t="s">
        <v>2566</v>
      </c>
      <c r="B25" s="10">
        <f>B26-B24</f>
        <v>104</v>
      </c>
      <c r="C25" s="36">
        <f>B25/$B$26</f>
        <v>0.2311111111111111</v>
      </c>
    </row>
    <row r="26" spans="1:16" x14ac:dyDescent="0.3">
      <c r="A26" t="s">
        <v>2567</v>
      </c>
      <c r="B26">
        <f>COUNTIFS(input!A23:A1035,"LPM")</f>
        <v>450</v>
      </c>
      <c r="C26" s="36">
        <f>B26/$B$26</f>
        <v>1</v>
      </c>
    </row>
  </sheetData>
  <mergeCells count="2">
    <mergeCell ref="A2:F2"/>
    <mergeCell ref="A1:C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982e005-5140-468f-99e4-fafd4e5618c0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C447587B6F922469DB860359787BC90" ma:contentTypeVersion="16" ma:contentTypeDescription="Crie um novo documento." ma:contentTypeScope="" ma:versionID="26e99ecfc7138391431e69a1aeaabe23">
  <xsd:schema xmlns:xsd="http://www.w3.org/2001/XMLSchema" xmlns:xs="http://www.w3.org/2001/XMLSchema" xmlns:p="http://schemas.microsoft.com/office/2006/metadata/properties" xmlns:ns3="c746d226-83b6-4d86-a6d9-d5fa9ec1f2ae" xmlns:ns4="0982e005-5140-468f-99e4-fafd4e5618c0" targetNamespace="http://schemas.microsoft.com/office/2006/metadata/properties" ma:root="true" ma:fieldsID="29940a96a5e6d32eee7a3aa03142422a" ns3:_="" ns4:_="">
    <xsd:import namespace="c746d226-83b6-4d86-a6d9-d5fa9ec1f2ae"/>
    <xsd:import namespace="0982e005-5140-468f-99e4-fafd4e5618c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d226-83b6-4d86-a6d9-d5fa9ec1f2a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82e005-5140-468f-99e4-fafd4e5618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62813A-275B-4DD0-A23A-A929975772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EF6494-0DE5-415D-A55E-4AE59C647F62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91F93B9-A885-46E2-AD7D-9D993186B545}">
  <ds:schemaRefs>
    <ds:schemaRef ds:uri="http://schemas.microsoft.com/office/2006/metadata/properties"/>
    <ds:schemaRef ds:uri="c746d226-83b6-4d86-a6d9-d5fa9ec1f2ae"/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0982e005-5140-468f-99e4-fafd4e5618c0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169786D-A0EA-4A9D-96A6-7387A2FC1D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d226-83b6-4d86-a6d9-d5fa9ec1f2ae"/>
    <ds:schemaRef ds:uri="0982e005-5140-468f-99e4-fafd4e5618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input</vt:lpstr>
      <vt:lpstr>pat_alts</vt:lpstr>
      <vt:lpstr>tipos_eqs</vt:lpstr>
      <vt:lpstr>defs</vt:lpstr>
    </vt:vector>
  </TitlesOfParts>
  <Manager/>
  <Company>Instituto de Pesquisas Tecnologicas IPT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Augustin (FIPT)</dc:creator>
  <cp:keywords/>
  <dc:description/>
  <cp:lastModifiedBy>Eric Augustin (FIPT)</cp:lastModifiedBy>
  <cp:revision/>
  <dcterms:created xsi:type="dcterms:W3CDTF">2022-08-24T15:50:06Z</dcterms:created>
  <dcterms:modified xsi:type="dcterms:W3CDTF">2023-06-01T19:46:41Z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0x0101001C447587B6F922469DB860359787BC90</vt:lpwstr>
  </property>
  <property fmtid="{D5CDD505-2E9C-101B-9397-08002B2CF9AE}" pid="3" name="MediaServiceImageTags">
    <vt:lpwstr/>
  </property>
</Properties>
</file>